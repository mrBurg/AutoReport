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NUUPES\Хрыпко И\Розклади\"/>
    </mc:Choice>
  </mc:AlternateContent>
  <xr:revisionPtr revIDLastSave="0" documentId="13_ncr:1_{3B30C20E-534A-41FD-93F9-CE4CE034B7EB}" xr6:coauthVersionLast="47" xr6:coauthVersionMax="47" xr10:uidLastSave="{00000000-0000-0000-0000-000000000000}"/>
  <bookViews>
    <workbookView xWindow="14025" yWindow="0" windowWidth="19200" windowHeight="21000" tabRatio="745" firstSheet="1" activeTab="1" xr2:uid="{00000000-000D-0000-FFFF-FFFF00000000}"/>
  </bookViews>
  <sheets>
    <sheet name="Magic" sheetId="32" state="hidden" r:id="rId1"/>
    <sheet name="Вступ до спеціальності" sheetId="61" r:id="rId2"/>
    <sheet name="1курс Основи фітнесу та АД" sheetId="62" r:id="rId3"/>
    <sheet name="ОТЗ та ЗСШ" sheetId="63" r:id="rId4"/>
    <sheet name="Персональний тренінг" sheetId="8" r:id="rId5"/>
    <sheet name="Практикум з ОФ " sheetId="46" r:id="rId6"/>
    <sheet name="Практикум з силового фітнесу" sheetId="60" r:id="rId7"/>
    <sheet name="СПА" sheetId="3" r:id="rId8"/>
    <sheet name="ФіР 2 курс" sheetId="14" r:id="rId9"/>
    <sheet name="ФіР 3 курс" sheetId="20" r:id="rId10"/>
    <sheet name="ФіР 4 курс" sheetId="5" r:id="rId11"/>
    <sheet name="спорт. анімація" sheetId="7" r:id="rId12"/>
    <sheet name="Аквафітнес " sheetId="1" r:id="rId13"/>
    <sheet name="Практикум із силового фітнесу" sheetId="27" state="hidden" r:id="rId14"/>
    <sheet name="ФВ (види ОРРА)" sheetId="45" state="hidden" r:id="rId15"/>
    <sheet name="ТТОРРА " sheetId="44" r:id="rId16"/>
    <sheet name="ССтаТО" sheetId="29" state="hidden" r:id="rId17"/>
    <sheet name="Магістри 1, 2 курс" sheetId="64" r:id="rId18"/>
  </sheets>
  <functionGroups builtInGroupCount="19"/>
  <externalReferences>
    <externalReference r:id="rId19"/>
  </externalReferences>
  <definedNames>
    <definedName name="Викладачі" localSheetId="2">[1]списки!$A$4:$A$101</definedName>
    <definedName name="Викладачі" localSheetId="1">[1]списки!$A$4:$A$101</definedName>
    <definedName name="Викладачі" localSheetId="17">[1]списки!$A$4:$A$101</definedName>
    <definedName name="Викладачі" localSheetId="3">[1]списки!$A$4:$A$101</definedName>
    <definedName name="Викладачі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32" l="1"/>
  <c r="C11" i="32"/>
  <c r="C10" i="32"/>
  <c r="C9" i="32"/>
  <c r="C8" i="32"/>
  <c r="C7" i="32"/>
  <c r="Y5" i="32"/>
  <c r="C16" i="32"/>
  <c r="D8" i="32"/>
  <c r="D9" i="32"/>
  <c r="D7" i="32"/>
  <c r="C13" i="32"/>
  <c r="C15" i="32"/>
  <c r="D10" i="32"/>
  <c r="C18" i="32"/>
  <c r="D18" i="32" s="1"/>
  <c r="D6" i="32"/>
  <c r="E10" i="32"/>
  <c r="D12" i="32"/>
  <c r="E12" i="32" s="1"/>
  <c r="C20" i="32"/>
  <c r="C23" i="32"/>
  <c r="C19" i="32"/>
  <c r="D19" i="32" s="1"/>
  <c r="C17" i="32"/>
  <c r="C14" i="32"/>
  <c r="D11" i="32"/>
  <c r="D23" i="32"/>
  <c r="C21" i="32"/>
  <c r="D14" i="32"/>
  <c r="E7" i="32"/>
  <c r="E14" i="32"/>
  <c r="F7" i="32"/>
  <c r="D16" i="32"/>
  <c r="E6" i="32"/>
  <c r="E8" i="32"/>
  <c r="C27" i="32"/>
  <c r="E18" i="32"/>
  <c r="C28" i="32"/>
  <c r="D15" i="32"/>
  <c r="E15" i="32" s="1"/>
  <c r="D21" i="32"/>
  <c r="E9" i="32"/>
  <c r="D20" i="32"/>
  <c r="C22" i="32"/>
  <c r="C30" i="32"/>
  <c r="D30" i="32" s="1"/>
  <c r="C25" i="32"/>
  <c r="D25" i="32" s="1"/>
  <c r="F12" i="32"/>
  <c r="D13" i="32"/>
  <c r="G7" i="32"/>
  <c r="F14" i="32"/>
  <c r="C32" i="32"/>
  <c r="F6" i="32"/>
  <c r="D27" i="32"/>
  <c r="D28" i="32"/>
  <c r="E19" i="32"/>
  <c r="D17" i="32"/>
  <c r="E21" i="32"/>
  <c r="E23" i="32"/>
  <c r="F23" i="32" s="1"/>
  <c r="E11" i="32"/>
  <c r="H7" i="32"/>
  <c r="C35" i="32"/>
  <c r="F10" i="32"/>
  <c r="G10" i="32" s="1"/>
  <c r="E17" i="32"/>
  <c r="C24" i="32"/>
  <c r="F9" i="32"/>
  <c r="C26" i="32"/>
  <c r="D26" i="32" s="1"/>
  <c r="C37" i="32"/>
  <c r="F11" i="32"/>
  <c r="E13" i="32"/>
  <c r="F17" i="32"/>
  <c r="C34" i="32"/>
  <c r="G14" i="32"/>
  <c r="G6" i="32"/>
  <c r="E16" i="32"/>
  <c r="C41" i="32"/>
  <c r="G9" i="32"/>
  <c r="C33" i="32"/>
  <c r="F19" i="32"/>
  <c r="H14" i="32"/>
  <c r="F16" i="32"/>
  <c r="H6" i="32"/>
  <c r="D34" i="32"/>
  <c r="I6" i="32"/>
  <c r="J6" i="32"/>
  <c r="K6" i="32"/>
  <c r="C29" i="32"/>
  <c r="D32" i="32"/>
  <c r="E32" i="32" s="1"/>
  <c r="F32" i="32" s="1"/>
  <c r="G32" i="32" s="1"/>
  <c r="H32" i="32" s="1"/>
  <c r="I32" i="32" s="1"/>
  <c r="J32" i="32" s="1"/>
  <c r="K32" i="32" s="1"/>
  <c r="I7" i="32"/>
  <c r="D35" i="32"/>
  <c r="C42" i="32"/>
  <c r="C31" i="32"/>
  <c r="D24" i="32"/>
  <c r="E24" i="32" s="1"/>
  <c r="D37" i="32"/>
  <c r="C44" i="32"/>
  <c r="D41" i="32"/>
  <c r="D33" i="32"/>
  <c r="E33" i="32" s="1"/>
  <c r="C40" i="32"/>
  <c r="D29" i="32"/>
  <c r="C36" i="32"/>
  <c r="J7" i="32"/>
  <c r="C38" i="32"/>
  <c r="E41" i="32"/>
  <c r="F41" i="32" s="1"/>
  <c r="G41" i="32" s="1"/>
  <c r="H41" i="32" s="1"/>
  <c r="I41" i="32" s="1"/>
  <c r="J41" i="32" s="1"/>
  <c r="K41" i="32" s="1"/>
  <c r="L41" i="32" s="1"/>
  <c r="M41" i="32" s="1"/>
  <c r="N41" i="32" s="1"/>
  <c r="O41" i="32" s="1"/>
  <c r="P41" i="32" s="1"/>
  <c r="Q41" i="32" s="1"/>
  <c r="R41" i="32" s="1"/>
  <c r="S41" i="32" s="1"/>
  <c r="T41" i="32" s="1"/>
  <c r="U41" i="32" s="1"/>
  <c r="V41" i="32" s="1"/>
  <c r="W41" i="32" s="1"/>
  <c r="X41" i="32" s="1"/>
  <c r="C47" i="32"/>
  <c r="D40" i="32"/>
  <c r="C43" i="32"/>
  <c r="D43" i="32" s="1"/>
  <c r="E43" i="32" s="1"/>
  <c r="F43" i="32" s="1"/>
  <c r="G43" i="32" s="1"/>
  <c r="D36" i="32"/>
  <c r="E36" i="32" s="1"/>
  <c r="F36" i="32" s="1"/>
  <c r="G36" i="32" s="1"/>
  <c r="H36" i="32" s="1"/>
  <c r="D38" i="32"/>
  <c r="E38" i="32" s="1"/>
  <c r="F38" i="32" s="1"/>
  <c r="G38" i="32" s="1"/>
  <c r="H38" i="32" s="1"/>
  <c r="C45" i="32"/>
  <c r="D45" i="32" s="1"/>
  <c r="E45" i="32" s="1"/>
  <c r="J5" i="32" l="1"/>
  <c r="D5" i="32"/>
  <c r="I5" i="32"/>
  <c r="C5" i="32"/>
  <c r="C51" i="32"/>
  <c r="H5" i="32"/>
  <c r="G5" i="32"/>
  <c r="F5" i="32"/>
  <c r="E5" i="32"/>
  <c r="F45" i="32"/>
  <c r="E40" i="32"/>
  <c r="F40" i="32" s="1"/>
  <c r="G40" i="32" s="1"/>
  <c r="E29" i="32"/>
  <c r="F29" i="32" s="1"/>
  <c r="G29" i="32" s="1"/>
  <c r="E37" i="32"/>
  <c r="F37" i="32" s="1"/>
  <c r="E35" i="32"/>
  <c r="F35" i="32" s="1"/>
  <c r="E34" i="32"/>
  <c r="H9" i="32"/>
  <c r="F13" i="32"/>
  <c r="E27" i="32"/>
  <c r="E25" i="32"/>
  <c r="F25" i="32" s="1"/>
  <c r="G25" i="32" s="1"/>
  <c r="H25" i="32" s="1"/>
  <c r="I25" i="32" s="1"/>
  <c r="J25" i="32" s="1"/>
  <c r="F15" i="32"/>
  <c r="G15" i="32" s="1"/>
  <c r="G11" i="32"/>
  <c r="H11" i="32" s="1"/>
  <c r="G23" i="32"/>
  <c r="H23" i="32" s="1"/>
  <c r="C39" i="32"/>
  <c r="F18" i="32"/>
  <c r="D22" i="32"/>
  <c r="I38" i="32"/>
  <c r="D47" i="32"/>
  <c r="F33" i="32"/>
  <c r="F24" i="32"/>
  <c r="G24" i="32" s="1"/>
  <c r="G16" i="32"/>
  <c r="E30" i="32"/>
  <c r="I36" i="32"/>
  <c r="K7" i="32"/>
  <c r="D31" i="32"/>
  <c r="E31" i="32" s="1"/>
  <c r="F31" i="32" s="1"/>
  <c r="L32" i="32"/>
  <c r="M32" i="32" s="1"/>
  <c r="I14" i="32"/>
  <c r="E26" i="32"/>
  <c r="F21" i="32"/>
  <c r="H43" i="32"/>
  <c r="D44" i="32"/>
  <c r="E44" i="32" s="1"/>
  <c r="F44" i="32" s="1"/>
  <c r="D42" i="32"/>
  <c r="E42" i="32" s="1"/>
  <c r="L6" i="32"/>
  <c r="G19" i="32"/>
  <c r="G17" i="32"/>
  <c r="H17" i="32" s="1"/>
  <c r="H10" i="32"/>
  <c r="I10" i="32" s="1"/>
  <c r="E28" i="32"/>
  <c r="G12" i="32"/>
  <c r="H12" i="32" s="1"/>
  <c r="E20" i="32"/>
  <c r="F8" i="32"/>
  <c r="D39" i="32"/>
  <c r="E39" i="32" s="1"/>
  <c r="C46" i="32"/>
  <c r="D46" i="32" s="1"/>
  <c r="E46" i="32" s="1"/>
  <c r="F46" i="32" s="1"/>
  <c r="G46" i="32" s="1"/>
  <c r="H46" i="32" s="1"/>
  <c r="I46" i="32" s="1"/>
  <c r="J46" i="32" s="1"/>
  <c r="K46" i="32" s="1"/>
  <c r="K5" i="32" l="1"/>
  <c r="G8" i="32"/>
  <c r="J10" i="32"/>
  <c r="K10" i="32" s="1"/>
  <c r="L10" i="32" s="1"/>
  <c r="F42" i="32"/>
  <c r="G42" i="32" s="1"/>
  <c r="H42" i="32" s="1"/>
  <c r="I42" i="32" s="1"/>
  <c r="J42" i="32" s="1"/>
  <c r="F26" i="32"/>
  <c r="G26" i="32" s="1"/>
  <c r="H26" i="32" s="1"/>
  <c r="I26" i="32" s="1"/>
  <c r="L7" i="32"/>
  <c r="H16" i="32"/>
  <c r="J38" i="32"/>
  <c r="K38" i="32" s="1"/>
  <c r="I11" i="32"/>
  <c r="G13" i="32"/>
  <c r="H13" i="32" s="1"/>
  <c r="G37" i="32"/>
  <c r="F20" i="32"/>
  <c r="I17" i="32"/>
  <c r="J17" i="32" s="1"/>
  <c r="G44" i="32"/>
  <c r="J14" i="32"/>
  <c r="K14" i="32" s="1"/>
  <c r="L14" i="32" s="1"/>
  <c r="M14" i="32" s="1"/>
  <c r="H24" i="32"/>
  <c r="I24" i="32" s="1"/>
  <c r="J24" i="32" s="1"/>
  <c r="E22" i="32"/>
  <c r="F22" i="32" s="1"/>
  <c r="G22" i="32" s="1"/>
  <c r="H15" i="32"/>
  <c r="I15" i="32" s="1"/>
  <c r="J15" i="32" s="1"/>
  <c r="I9" i="32"/>
  <c r="H29" i="32"/>
  <c r="I29" i="32" s="1"/>
  <c r="J29" i="32" s="1"/>
  <c r="L46" i="32"/>
  <c r="M46" i="32" s="1"/>
  <c r="I12" i="32"/>
  <c r="H19" i="32"/>
  <c r="I19" i="32" s="1"/>
  <c r="J19" i="32" s="1"/>
  <c r="I43" i="32"/>
  <c r="N32" i="32"/>
  <c r="J36" i="32"/>
  <c r="G33" i="32"/>
  <c r="H33" i="32" s="1"/>
  <c r="G18" i="32"/>
  <c r="K25" i="32"/>
  <c r="L25" i="32" s="1"/>
  <c r="M25" i="32" s="1"/>
  <c r="F34" i="32"/>
  <c r="H40" i="32"/>
  <c r="F39" i="32"/>
  <c r="F28" i="32"/>
  <c r="G28" i="32" s="1"/>
  <c r="H28" i="32" s="1"/>
  <c r="M6" i="32"/>
  <c r="G21" i="32"/>
  <c r="G31" i="32"/>
  <c r="H31" i="32" s="1"/>
  <c r="I31" i="32" s="1"/>
  <c r="J31" i="32" s="1"/>
  <c r="F30" i="32"/>
  <c r="E47" i="32"/>
  <c r="I23" i="32"/>
  <c r="F27" i="32"/>
  <c r="G27" i="32" s="1"/>
  <c r="H27" i="32" s="1"/>
  <c r="I27" i="32" s="1"/>
  <c r="J27" i="32" s="1"/>
  <c r="G35" i="32"/>
  <c r="H35" i="32" s="1"/>
  <c r="I35" i="32" s="1"/>
  <c r="J35" i="32" s="1"/>
  <c r="G45" i="32"/>
  <c r="H45" i="32" s="1"/>
  <c r="L5" i="32" l="1"/>
  <c r="I45" i="32"/>
  <c r="F47" i="32"/>
  <c r="N6" i="32"/>
  <c r="O6" i="32" s="1"/>
  <c r="P6" i="32" s="1"/>
  <c r="G34" i="32"/>
  <c r="H34" i="32" s="1"/>
  <c r="K36" i="32"/>
  <c r="J12" i="32"/>
  <c r="K15" i="32"/>
  <c r="L15" i="32" s="1"/>
  <c r="H44" i="32"/>
  <c r="I44" i="32" s="1"/>
  <c r="J44" i="32" s="1"/>
  <c r="I13" i="32"/>
  <c r="M7" i="32"/>
  <c r="M10" i="32"/>
  <c r="K35" i="32"/>
  <c r="G30" i="32"/>
  <c r="H30" i="32" s="1"/>
  <c r="I30" i="32" s="1"/>
  <c r="I28" i="32"/>
  <c r="N25" i="32"/>
  <c r="O32" i="32"/>
  <c r="N46" i="32"/>
  <c r="O46" i="32" s="1"/>
  <c r="P46" i="32" s="1"/>
  <c r="Q46" i="32" s="1"/>
  <c r="R46" i="32" s="1"/>
  <c r="S46" i="32" s="1"/>
  <c r="T46" i="32" s="1"/>
  <c r="U46" i="32" s="1"/>
  <c r="V46" i="32" s="1"/>
  <c r="W46" i="32" s="1"/>
  <c r="X46" i="32" s="1"/>
  <c r="H22" i="32"/>
  <c r="I22" i="32" s="1"/>
  <c r="K17" i="32"/>
  <c r="J11" i="32"/>
  <c r="K27" i="32"/>
  <c r="L27" i="32" s="1"/>
  <c r="K31" i="32"/>
  <c r="G39" i="32"/>
  <c r="H39" i="32" s="1"/>
  <c r="I39" i="32" s="1"/>
  <c r="H18" i="32"/>
  <c r="I18" i="32" s="1"/>
  <c r="J18" i="32" s="1"/>
  <c r="J43" i="32"/>
  <c r="K29" i="32"/>
  <c r="K24" i="32"/>
  <c r="L24" i="32" s="1"/>
  <c r="M24" i="32" s="1"/>
  <c r="N24" i="32" s="1"/>
  <c r="G20" i="32"/>
  <c r="H20" i="32" s="1"/>
  <c r="I20" i="32" s="1"/>
  <c r="J20" i="32" s="1"/>
  <c r="K20" i="32" s="1"/>
  <c r="L38" i="32"/>
  <c r="J26" i="32"/>
  <c r="K26" i="32" s="1"/>
  <c r="L26" i="32" s="1"/>
  <c r="J23" i="32"/>
  <c r="H21" i="32"/>
  <c r="I21" i="32" s="1"/>
  <c r="J21" i="32" s="1"/>
  <c r="I40" i="32"/>
  <c r="J40" i="32" s="1"/>
  <c r="K40" i="32" s="1"/>
  <c r="I33" i="32"/>
  <c r="J33" i="32" s="1"/>
  <c r="K19" i="32"/>
  <c r="J9" i="32"/>
  <c r="N14" i="32"/>
  <c r="O14" i="32" s="1"/>
  <c r="H37" i="32"/>
  <c r="I37" i="32" s="1"/>
  <c r="J37" i="32" s="1"/>
  <c r="I16" i="32"/>
  <c r="J16" i="32" s="1"/>
  <c r="K42" i="32"/>
  <c r="L42" i="32" s="1"/>
  <c r="H8" i="32"/>
  <c r="I8" i="32" s="1"/>
  <c r="J8" i="32" s="1"/>
  <c r="K8" i="32" s="1"/>
  <c r="M5" i="32" l="1"/>
  <c r="L8" i="32"/>
  <c r="M8" i="32" s="1"/>
  <c r="N8" i="32" s="1"/>
  <c r="P14" i="32"/>
  <c r="L40" i="32"/>
  <c r="M38" i="32"/>
  <c r="K43" i="32"/>
  <c r="M27" i="32"/>
  <c r="P32" i="32"/>
  <c r="L35" i="32"/>
  <c r="J13" i="32"/>
  <c r="L36" i="32"/>
  <c r="J45" i="32"/>
  <c r="M42" i="32"/>
  <c r="K9" i="32"/>
  <c r="K21" i="32"/>
  <c r="L20" i="32"/>
  <c r="M20" i="32" s="1"/>
  <c r="K18" i="32"/>
  <c r="K11" i="32"/>
  <c r="L11" i="32" s="1"/>
  <c r="M11" i="32" s="1"/>
  <c r="O25" i="32"/>
  <c r="P25" i="32" s="1"/>
  <c r="Q25" i="32" s="1"/>
  <c r="R25" i="32" s="1"/>
  <c r="N10" i="32"/>
  <c r="K44" i="32"/>
  <c r="L44" i="32" s="1"/>
  <c r="I34" i="32"/>
  <c r="L17" i="32"/>
  <c r="J28" i="32"/>
  <c r="K28" i="32" s="1"/>
  <c r="M15" i="32"/>
  <c r="N15" i="32" s="1"/>
  <c r="Q6" i="32"/>
  <c r="K12" i="32"/>
  <c r="L12" i="32" s="1"/>
  <c r="K16" i="32"/>
  <c r="L16" i="32" s="1"/>
  <c r="L19" i="32"/>
  <c r="M19" i="32" s="1"/>
  <c r="K23" i="32"/>
  <c r="O24" i="32"/>
  <c r="P24" i="32" s="1"/>
  <c r="J39" i="32"/>
  <c r="K39" i="32" s="1"/>
  <c r="L39" i="32" s="1"/>
  <c r="M39" i="32" s="1"/>
  <c r="N39" i="32" s="1"/>
  <c r="O39" i="32" s="1"/>
  <c r="N7" i="32"/>
  <c r="G47" i="32"/>
  <c r="H47" i="32" s="1"/>
  <c r="K37" i="32"/>
  <c r="K33" i="32"/>
  <c r="M26" i="32"/>
  <c r="N26" i="32" s="1"/>
  <c r="L29" i="32"/>
  <c r="L31" i="32"/>
  <c r="M31" i="32" s="1"/>
  <c r="J22" i="32"/>
  <c r="J30" i="32"/>
  <c r="K30" i="32" s="1"/>
  <c r="O7" i="32"/>
  <c r="O5" i="32" l="1"/>
  <c r="N5" i="32"/>
  <c r="P7" i="32"/>
  <c r="M29" i="32"/>
  <c r="I47" i="32"/>
  <c r="J47" i="32" s="1"/>
  <c r="L23" i="32"/>
  <c r="R6" i="32"/>
  <c r="S6" i="32" s="1"/>
  <c r="J34" i="32"/>
  <c r="K34" i="32" s="1"/>
  <c r="N11" i="32"/>
  <c r="L9" i="32"/>
  <c r="K13" i="32"/>
  <c r="L43" i="32"/>
  <c r="O8" i="32"/>
  <c r="N19" i="32"/>
  <c r="O15" i="32"/>
  <c r="P15" i="32" s="1"/>
  <c r="Q15" i="32" s="1"/>
  <c r="R15" i="32" s="1"/>
  <c r="S15" i="32" s="1"/>
  <c r="T15" i="32" s="1"/>
  <c r="M44" i="32"/>
  <c r="L18" i="32"/>
  <c r="N42" i="32"/>
  <c r="O42" i="32" s="1"/>
  <c r="M35" i="32"/>
  <c r="N35" i="32" s="1"/>
  <c r="N38" i="32"/>
  <c r="O38" i="32" s="1"/>
  <c r="L30" i="32"/>
  <c r="M30" i="32" s="1"/>
  <c r="N30" i="32" s="1"/>
  <c r="O26" i="32"/>
  <c r="K22" i="32"/>
  <c r="L22" i="32" s="1"/>
  <c r="M22" i="32" s="1"/>
  <c r="L33" i="32"/>
  <c r="P39" i="32"/>
  <c r="Q39" i="32" s="1"/>
  <c r="R39" i="32" s="1"/>
  <c r="S39" i="32" s="1"/>
  <c r="T39" i="32" s="1"/>
  <c r="U39" i="32" s="1"/>
  <c r="M16" i="32"/>
  <c r="N16" i="32" s="1"/>
  <c r="O16" i="32" s="1"/>
  <c r="P16" i="32" s="1"/>
  <c r="L28" i="32"/>
  <c r="O10" i="32"/>
  <c r="N20" i="32"/>
  <c r="O20" i="32" s="1"/>
  <c r="K45" i="32"/>
  <c r="Q32" i="32"/>
  <c r="R32" i="32" s="1"/>
  <c r="S32" i="32" s="1"/>
  <c r="M40" i="32"/>
  <c r="N31" i="32"/>
  <c r="L37" i="32"/>
  <c r="Q24" i="32"/>
  <c r="M12" i="32"/>
  <c r="M17" i="32"/>
  <c r="S25" i="32"/>
  <c r="L21" i="32"/>
  <c r="M36" i="32"/>
  <c r="N27" i="32"/>
  <c r="Q14" i="32"/>
  <c r="P5" i="32" l="1"/>
  <c r="N36" i="32"/>
  <c r="N12" i="32"/>
  <c r="O12" i="32" s="1"/>
  <c r="P12" i="32" s="1"/>
  <c r="N40" i="32"/>
  <c r="P10" i="32"/>
  <c r="M33" i="32"/>
  <c r="N33" i="32" s="1"/>
  <c r="O33" i="32" s="1"/>
  <c r="P38" i="32"/>
  <c r="N44" i="32"/>
  <c r="M43" i="32"/>
  <c r="L34" i="32"/>
  <c r="N29" i="32"/>
  <c r="R24" i="32"/>
  <c r="T32" i="32"/>
  <c r="U32" i="32" s="1"/>
  <c r="M28" i="32"/>
  <c r="N22" i="32"/>
  <c r="O35" i="32"/>
  <c r="U15" i="32"/>
  <c r="V15" i="32" s="1"/>
  <c r="L13" i="32"/>
  <c r="M13" i="32" s="1"/>
  <c r="T6" i="32"/>
  <c r="Q7" i="32"/>
  <c r="R14" i="32"/>
  <c r="T25" i="32"/>
  <c r="M37" i="32"/>
  <c r="L45" i="32"/>
  <c r="Q16" i="32"/>
  <c r="P26" i="32"/>
  <c r="P42" i="32"/>
  <c r="O19" i="32"/>
  <c r="M9" i="32"/>
  <c r="M23" i="32"/>
  <c r="M21" i="32"/>
  <c r="O27" i="32"/>
  <c r="P27" i="32" s="1"/>
  <c r="N17" i="32"/>
  <c r="O31" i="32"/>
  <c r="P31" i="32" s="1"/>
  <c r="P20" i="32"/>
  <c r="V39" i="32"/>
  <c r="W39" i="32" s="1"/>
  <c r="X39" i="32" s="1"/>
  <c r="O30" i="32"/>
  <c r="P30" i="32" s="1"/>
  <c r="Q30" i="32" s="1"/>
  <c r="M18" i="32"/>
  <c r="P8" i="32"/>
  <c r="O11" i="32"/>
  <c r="P11" i="32" s="1"/>
  <c r="Q11" i="32" s="1"/>
  <c r="R11" i="32" s="1"/>
  <c r="K47" i="32"/>
  <c r="L47" i="32" s="1"/>
  <c r="Q5" i="32" l="1"/>
  <c r="M47" i="32"/>
  <c r="R30" i="32"/>
  <c r="Q27" i="32"/>
  <c r="P19" i="32"/>
  <c r="M45" i="32"/>
  <c r="R7" i="32"/>
  <c r="W15" i="32"/>
  <c r="X15" i="32" s="1"/>
  <c r="V32" i="32"/>
  <c r="N43" i="32"/>
  <c r="O43" i="32" s="1"/>
  <c r="Q10" i="32"/>
  <c r="R10" i="32" s="1"/>
  <c r="S11" i="32"/>
  <c r="T11" i="32" s="1"/>
  <c r="U11" i="32" s="1"/>
  <c r="V11" i="32" s="1"/>
  <c r="W11" i="32" s="1"/>
  <c r="X11" i="32" s="1"/>
  <c r="Q20" i="32"/>
  <c r="N21" i="32"/>
  <c r="O21" i="32" s="1"/>
  <c r="Q42" i="32"/>
  <c r="N37" i="32"/>
  <c r="Q8" i="32"/>
  <c r="R8" i="32" s="1"/>
  <c r="Q31" i="32"/>
  <c r="N23" i="32"/>
  <c r="Q26" i="32"/>
  <c r="R26" i="32" s="1"/>
  <c r="U25" i="32"/>
  <c r="U6" i="32"/>
  <c r="O22" i="32"/>
  <c r="O29" i="32"/>
  <c r="Q38" i="32"/>
  <c r="R38" i="32" s="1"/>
  <c r="Q12" i="32"/>
  <c r="P33" i="32"/>
  <c r="P35" i="32"/>
  <c r="Q35" i="32" s="1"/>
  <c r="S24" i="32"/>
  <c r="O40" i="32"/>
  <c r="N18" i="32"/>
  <c r="O18" i="32" s="1"/>
  <c r="O17" i="32"/>
  <c r="N9" i="32"/>
  <c r="O9" i="32" s="1"/>
  <c r="P9" i="32" s="1"/>
  <c r="R16" i="32"/>
  <c r="S14" i="32"/>
  <c r="N13" i="32"/>
  <c r="N28" i="32"/>
  <c r="O28" i="32" s="1"/>
  <c r="M34" i="32"/>
  <c r="N34" i="32" s="1"/>
  <c r="O36" i="32"/>
  <c r="O44" i="32"/>
  <c r="S7" i="32"/>
  <c r="S5" i="32" l="1"/>
  <c r="R5" i="32"/>
  <c r="T7" i="32"/>
  <c r="O34" i="32"/>
  <c r="S16" i="32"/>
  <c r="P40" i="32"/>
  <c r="R12" i="32"/>
  <c r="V6" i="32"/>
  <c r="R31" i="32"/>
  <c r="P21" i="32"/>
  <c r="W32" i="32"/>
  <c r="X32" i="32" s="1"/>
  <c r="R27" i="32"/>
  <c r="P44" i="32"/>
  <c r="O13" i="32"/>
  <c r="P17" i="32"/>
  <c r="R35" i="32"/>
  <c r="S35" i="32" s="1"/>
  <c r="P29" i="32"/>
  <c r="S26" i="32"/>
  <c r="O37" i="32"/>
  <c r="S10" i="32"/>
  <c r="N45" i="32"/>
  <c r="N47" i="32"/>
  <c r="P28" i="32"/>
  <c r="S38" i="32"/>
  <c r="T38" i="32" s="1"/>
  <c r="S8" i="32"/>
  <c r="P36" i="32"/>
  <c r="T14" i="32"/>
  <c r="P18" i="32"/>
  <c r="Q18" i="32" s="1"/>
  <c r="Q33" i="32"/>
  <c r="R33" i="32" s="1"/>
  <c r="S33" i="32" s="1"/>
  <c r="P22" i="32"/>
  <c r="O23" i="32"/>
  <c r="R42" i="32"/>
  <c r="P43" i="32"/>
  <c r="Q19" i="32"/>
  <c r="Q9" i="32"/>
  <c r="T24" i="32"/>
  <c r="V25" i="32"/>
  <c r="R20" i="32"/>
  <c r="S20" i="32" s="1"/>
  <c r="T20" i="32" s="1"/>
  <c r="S30" i="32"/>
  <c r="T5" i="32" l="1"/>
  <c r="W25" i="32"/>
  <c r="Q43" i="32"/>
  <c r="R43" i="32" s="1"/>
  <c r="T33" i="32"/>
  <c r="T8" i="32"/>
  <c r="U8" i="32" s="1"/>
  <c r="O45" i="32"/>
  <c r="P45" i="32" s="1"/>
  <c r="Q29" i="32"/>
  <c r="Q44" i="32"/>
  <c r="W6" i="32"/>
  <c r="X6" i="32" s="1"/>
  <c r="P34" i="32"/>
  <c r="U20" i="32"/>
  <c r="R19" i="32"/>
  <c r="Q22" i="32"/>
  <c r="Q36" i="32"/>
  <c r="O47" i="32"/>
  <c r="T26" i="32"/>
  <c r="P13" i="32"/>
  <c r="Q13" i="32" s="1"/>
  <c r="R13" i="32" s="1"/>
  <c r="S31" i="32"/>
  <c r="T16" i="32"/>
  <c r="U24" i="32"/>
  <c r="S42" i="32"/>
  <c r="R18" i="32"/>
  <c r="S18" i="32" s="1"/>
  <c r="T18" i="32" s="1"/>
  <c r="U18" i="32" s="1"/>
  <c r="V18" i="32" s="1"/>
  <c r="W18" i="32" s="1"/>
  <c r="X18" i="32" s="1"/>
  <c r="U38" i="32"/>
  <c r="T10" i="32"/>
  <c r="T35" i="32"/>
  <c r="S27" i="32"/>
  <c r="S12" i="32"/>
  <c r="U7" i="32"/>
  <c r="T30" i="32"/>
  <c r="U30" i="32" s="1"/>
  <c r="R9" i="32"/>
  <c r="P23" i="32"/>
  <c r="U14" i="32"/>
  <c r="Q28" i="32"/>
  <c r="P37" i="32"/>
  <c r="Q37" i="32" s="1"/>
  <c r="Q17" i="32"/>
  <c r="R17" i="32" s="1"/>
  <c r="Q21" i="32"/>
  <c r="Q40" i="32"/>
  <c r="U5" i="32" l="1"/>
  <c r="R40" i="32"/>
  <c r="R28" i="32"/>
  <c r="V30" i="32"/>
  <c r="T27" i="32"/>
  <c r="T42" i="32"/>
  <c r="S13" i="32"/>
  <c r="R22" i="32"/>
  <c r="R44" i="32"/>
  <c r="U33" i="32"/>
  <c r="R21" i="32"/>
  <c r="V14" i="32"/>
  <c r="V7" i="32"/>
  <c r="U35" i="32"/>
  <c r="V24" i="32"/>
  <c r="U26" i="32"/>
  <c r="S19" i="32"/>
  <c r="R29" i="32"/>
  <c r="S43" i="32"/>
  <c r="U10" i="32"/>
  <c r="U16" i="32"/>
  <c r="P47" i="32"/>
  <c r="V20" i="32"/>
  <c r="Q45" i="32"/>
  <c r="X25" i="32"/>
  <c r="R37" i="32"/>
  <c r="S9" i="32"/>
  <c r="T12" i="32"/>
  <c r="V38" i="32"/>
  <c r="T31" i="32"/>
  <c r="R36" i="32"/>
  <c r="S36" i="32" s="1"/>
  <c r="T36" i="32" s="1"/>
  <c r="U36" i="32" s="1"/>
  <c r="V36" i="32" s="1"/>
  <c r="W36" i="32" s="1"/>
  <c r="Q34" i="32"/>
  <c r="V8" i="32"/>
  <c r="S17" i="32"/>
  <c r="Q23" i="32"/>
  <c r="W7" i="32"/>
  <c r="W5" i="32" l="1"/>
  <c r="V5" i="32"/>
  <c r="R34" i="32"/>
  <c r="U12" i="32"/>
  <c r="V12" i="32" s="1"/>
  <c r="W20" i="32"/>
  <c r="X20" i="32" s="1"/>
  <c r="T43" i="32"/>
  <c r="W24" i="32"/>
  <c r="S21" i="32"/>
  <c r="T13" i="32"/>
  <c r="S28" i="32"/>
  <c r="R23" i="32"/>
  <c r="S23" i="32" s="1"/>
  <c r="X36" i="32"/>
  <c r="T9" i="32"/>
  <c r="Q47" i="32"/>
  <c r="S29" i="32"/>
  <c r="V35" i="32"/>
  <c r="V33" i="32"/>
  <c r="W33" i="32" s="1"/>
  <c r="U42" i="32"/>
  <c r="S40" i="32"/>
  <c r="U31" i="32"/>
  <c r="V16" i="32"/>
  <c r="T19" i="32"/>
  <c r="T17" i="32"/>
  <c r="S37" i="32"/>
  <c r="S44" i="32"/>
  <c r="U27" i="32"/>
  <c r="X7" i="32"/>
  <c r="W8" i="32"/>
  <c r="W38" i="32"/>
  <c r="R45" i="32"/>
  <c r="V10" i="32"/>
  <c r="V26" i="32"/>
  <c r="W14" i="32"/>
  <c r="S22" i="32"/>
  <c r="T22" i="32" s="1"/>
  <c r="W30" i="32"/>
  <c r="X5" i="32" l="1"/>
  <c r="X14" i="32"/>
  <c r="X38" i="32"/>
  <c r="T44" i="32"/>
  <c r="W16" i="32"/>
  <c r="X33" i="32"/>
  <c r="U9" i="32"/>
  <c r="T21" i="32"/>
  <c r="S34" i="32"/>
  <c r="U17" i="32"/>
  <c r="T40" i="32"/>
  <c r="T29" i="32"/>
  <c r="T28" i="32"/>
  <c r="U43" i="32"/>
  <c r="U22" i="32"/>
  <c r="S45" i="32"/>
  <c r="V27" i="32"/>
  <c r="U19" i="32"/>
  <c r="V19" i="32" s="1"/>
  <c r="V42" i="32"/>
  <c r="R47" i="32"/>
  <c r="U13" i="32"/>
  <c r="W12" i="32"/>
  <c r="W26" i="32"/>
  <c r="X8" i="32"/>
  <c r="T37" i="32"/>
  <c r="V31" i="32"/>
  <c r="W35" i="32"/>
  <c r="T23" i="32"/>
  <c r="X24" i="32"/>
  <c r="X30" i="32"/>
  <c r="W10" i="32"/>
  <c r="X10" i="32"/>
  <c r="U37" i="32"/>
  <c r="S47" i="32"/>
  <c r="T45" i="32"/>
  <c r="U29" i="32"/>
  <c r="U21" i="32"/>
  <c r="U23" i="32"/>
  <c r="X26" i="32"/>
  <c r="W42" i="32"/>
  <c r="V22" i="32"/>
  <c r="U40" i="32"/>
  <c r="V9" i="32"/>
  <c r="V17" i="32"/>
  <c r="X16" i="32"/>
  <c r="W27" i="32"/>
  <c r="U44" i="32"/>
  <c r="X35" i="32"/>
  <c r="X12" i="32"/>
  <c r="W19" i="32"/>
  <c r="X19" i="32" s="1"/>
  <c r="V43" i="32"/>
  <c r="T34" i="32"/>
  <c r="W31" i="32"/>
  <c r="V13" i="32"/>
  <c r="U28" i="32"/>
  <c r="X31" i="32"/>
  <c r="X27" i="32"/>
  <c r="W22" i="32"/>
  <c r="V29" i="32"/>
  <c r="U34" i="32"/>
  <c r="W17" i="32"/>
  <c r="X42" i="32"/>
  <c r="U45" i="32"/>
  <c r="V28" i="32"/>
  <c r="W43" i="32"/>
  <c r="W9" i="32"/>
  <c r="V23" i="32"/>
  <c r="T47" i="32"/>
  <c r="W13" i="32"/>
  <c r="V44" i="32"/>
  <c r="V40" i="32"/>
  <c r="V21" i="32"/>
  <c r="V37" i="32"/>
  <c r="W40" i="32"/>
  <c r="W23" i="32"/>
  <c r="V45" i="32"/>
  <c r="X22" i="32"/>
  <c r="W28" i="32"/>
  <c r="W44" i="32"/>
  <c r="X9" i="32"/>
  <c r="X17" i="32"/>
  <c r="W37" i="32"/>
  <c r="X13" i="32"/>
  <c r="X43" i="32"/>
  <c r="V34" i="32"/>
  <c r="W21" i="32"/>
  <c r="U47" i="32"/>
  <c r="W29" i="32"/>
  <c r="X21" i="32"/>
  <c r="X28" i="32"/>
  <c r="W34" i="32"/>
  <c r="W45" i="32"/>
  <c r="X29" i="32"/>
  <c r="X37" i="32"/>
  <c r="X23" i="32"/>
  <c r="V47" i="32"/>
  <c r="X44" i="32"/>
  <c r="X40" i="32"/>
  <c r="X34" i="32"/>
  <c r="W47" i="32"/>
  <c r="X45" i="32"/>
  <c r="X47" i="32"/>
</calcChain>
</file>

<file path=xl/sharedStrings.xml><?xml version="1.0" encoding="utf-8"?>
<sst xmlns="http://schemas.openxmlformats.org/spreadsheetml/2006/main" count="2288" uniqueCount="381">
  <si>
    <t>дні тижня</t>
  </si>
  <si>
    <t>час</t>
  </si>
  <si>
    <t>понеділок</t>
  </si>
  <si>
    <t>вівторок</t>
  </si>
  <si>
    <t>середа</t>
  </si>
  <si>
    <t>четвер</t>
  </si>
  <si>
    <t>пятниця</t>
  </si>
  <si>
    <t>14.00-15.20</t>
  </si>
  <si>
    <t>15.45-17.05</t>
  </si>
  <si>
    <t>17.30-18.50</t>
  </si>
  <si>
    <t>8.45-10.05</t>
  </si>
  <si>
    <t>10.30-11.50</t>
  </si>
  <si>
    <t>12.15-13.35</t>
  </si>
  <si>
    <t xml:space="preserve">тиждень </t>
  </si>
  <si>
    <t>19.15-20.35</t>
  </si>
  <si>
    <t>ТТОРРА</t>
  </si>
  <si>
    <t>Функціональний тренінг</t>
  </si>
  <si>
    <t>АКВАФІТНЕС</t>
  </si>
  <si>
    <t>Практикум із силового фітнесу (ВВ)</t>
  </si>
  <si>
    <t>Фізичне виховання (види ОРРА)</t>
  </si>
  <si>
    <t>ССтаТО</t>
  </si>
  <si>
    <t>Практикум із оздоровчого фітнесу (ВВ)</t>
  </si>
  <si>
    <t>Персональний тренінг</t>
  </si>
  <si>
    <t xml:space="preserve">МАГІСТРИ </t>
  </si>
  <si>
    <t>субота</t>
  </si>
  <si>
    <t>02.09.24-07.09.24</t>
  </si>
  <si>
    <t>09.09.24-14.09.24</t>
  </si>
  <si>
    <t>16.09.24-21.09.24</t>
  </si>
  <si>
    <t>23.09.24-28.09.24</t>
  </si>
  <si>
    <t>30.09.24-05.10.24</t>
  </si>
  <si>
    <t>07.10.24-12.10.24</t>
  </si>
  <si>
    <t>14.10.24-19.10.24</t>
  </si>
  <si>
    <t>21.10.24-26.10.24</t>
  </si>
  <si>
    <t>28.10.24-02.11.24</t>
  </si>
  <si>
    <t>04.11.24-09.11.24</t>
  </si>
  <si>
    <t>11.11.24-16.11.24</t>
  </si>
  <si>
    <t>18.11.24-23.11.24</t>
  </si>
  <si>
    <t>25.11.24-30.11.24</t>
  </si>
  <si>
    <t>02.12.24-07.12.24</t>
  </si>
  <si>
    <t>09.12.24-14.12.24</t>
  </si>
  <si>
    <t>16.12.24-21.12.24</t>
  </si>
  <si>
    <t>23.12.24-28.12.24</t>
  </si>
  <si>
    <t>НПП</t>
  </si>
  <si>
    <t>Група</t>
  </si>
  <si>
    <t>Афігєнная_група</t>
  </si>
  <si>
    <t>20.10.25-25.10.25</t>
  </si>
  <si>
    <t>13.10.25-18.10.25</t>
  </si>
  <si>
    <t>06.10.25-11.10.25</t>
  </si>
  <si>
    <t>29.09.25-04.10.25</t>
  </si>
  <si>
    <t>01.09.25-06.09.25</t>
  </si>
  <si>
    <t>08.09.25-13.09.25</t>
  </si>
  <si>
    <t>15.09.25-20.09.25</t>
  </si>
  <si>
    <t>22.09.25-27.09.25</t>
  </si>
  <si>
    <t>27.10.25-01.11.25</t>
  </si>
  <si>
    <t>03.11.25-08.11.25</t>
  </si>
  <si>
    <t>22.12.25-27.12.25</t>
  </si>
  <si>
    <t>15.12.25-20.12.25</t>
  </si>
  <si>
    <t>08.12.25-13.12.25</t>
  </si>
  <si>
    <t>01.12.25-06.12.25</t>
  </si>
  <si>
    <t>24.11.25-29.11.25</t>
  </si>
  <si>
    <t>17.11.25-22.11.25</t>
  </si>
  <si>
    <t>10.11.25-15.11.25</t>
  </si>
  <si>
    <t>Лекція ННІЗРФВ - Дутчак М.В.</t>
  </si>
  <si>
    <t>11-СІ1 (1.417)</t>
  </si>
  <si>
    <t>11-СІ2 (1.417), 11-ХТ1 (1.415)</t>
  </si>
  <si>
    <t>11-СГ1 (1.415)</t>
  </si>
  <si>
    <t>11-СГ2 (1.415)</t>
  </si>
  <si>
    <t>Лекція тренерський факультет - Дутчак</t>
  </si>
  <si>
    <t xml:space="preserve">11-ХТ1 (1.418)
</t>
  </si>
  <si>
    <t>Лекція ННІЗРФВ - Дутчак М.В.
11-СГ1 (1.418)</t>
  </si>
  <si>
    <t>Лекція факультет спорту і менеджменту - Дутчак</t>
  </si>
  <si>
    <t>12-ЄС1 (1.417)</t>
  </si>
  <si>
    <t xml:space="preserve">12-ЄС2 (1.417),
 11-ФБ1 (1.415)
</t>
  </si>
  <si>
    <t xml:space="preserve">12-ЛЗ (1.417),
 11-ФБ2 (1.415)
</t>
  </si>
  <si>
    <t xml:space="preserve">12-ВВ, МЕ1 (1.417), 
11-СІ1 (1.415)
</t>
  </si>
  <si>
    <t>13-ОРА2 (1.418),
11-СГ2 (1.417)</t>
  </si>
  <si>
    <t xml:space="preserve">13-ОРА1 (1.418),
11-СІ2 (1.417)
</t>
  </si>
  <si>
    <t>13-ФВ2, ІТ(1.418),</t>
  </si>
  <si>
    <t>13-ОРА1 фойє актової зали</t>
  </si>
  <si>
    <t>13-ОРА2  фойє актової зали</t>
  </si>
  <si>
    <t>Лекція тренерський факультет
 1 курс
Омельченко Т.Г.</t>
  </si>
  <si>
    <t>Лекція тренерський факультет
  1 курс Горенко З.А.</t>
  </si>
  <si>
    <t>Лекція тренерський факультет
  1 курс Омельченко Т.Г.</t>
  </si>
  <si>
    <t>Лекція тренерський факультет
 1 курс Омельченко Т.Г.</t>
  </si>
  <si>
    <t>Лекція тренерський факультет
 1 курс Горенко З.А.</t>
  </si>
  <si>
    <t xml:space="preserve">31-СГ1 (1.415),
</t>
  </si>
  <si>
    <t>11-СГ1</t>
  </si>
  <si>
    <t>11-СГ2</t>
  </si>
  <si>
    <t>11-ХТ1</t>
  </si>
  <si>
    <t>11-ФБ1</t>
  </si>
  <si>
    <t>11-ФБ2</t>
  </si>
  <si>
    <t>11-СІ1</t>
  </si>
  <si>
    <t>11-СІ2</t>
  </si>
  <si>
    <t>31-СГ1</t>
  </si>
  <si>
    <t>31-СГ2</t>
  </si>
  <si>
    <t>31-ХТ1</t>
  </si>
  <si>
    <t>31-ФБ1</t>
  </si>
  <si>
    <t>31-ФБ2</t>
  </si>
  <si>
    <t>31-ФБ3</t>
  </si>
  <si>
    <t>31-СІ1</t>
  </si>
  <si>
    <t>31-СІ2</t>
  </si>
  <si>
    <t>33-ОРА1</t>
  </si>
  <si>
    <t>33-ОРА2</t>
  </si>
  <si>
    <t>33-ОРА3</t>
  </si>
  <si>
    <t>42МЕ</t>
  </si>
  <si>
    <t>22-ВВ</t>
  </si>
  <si>
    <t>32-ВВ</t>
  </si>
  <si>
    <t>23-ОРА2</t>
  </si>
  <si>
    <t>22-ЄС2</t>
  </si>
  <si>
    <t>32-ЄС2</t>
  </si>
  <si>
    <t>43-ТР4</t>
  </si>
  <si>
    <t>43-ТР5</t>
  </si>
  <si>
    <t>43-ТР6</t>
  </si>
  <si>
    <t>29.09.</t>
  </si>
  <si>
    <t>32-ЄС2 (1.411)</t>
  </si>
  <si>
    <t xml:space="preserve">32-ЄС2 (1.411)
</t>
  </si>
  <si>
    <t>43-ОРА1</t>
  </si>
  <si>
    <t>43-ОРА2</t>
  </si>
  <si>
    <t>43-ОРА3</t>
  </si>
  <si>
    <t>43-ОРА4</t>
  </si>
  <si>
    <t>33-ОРА2
СК «Олімпійський стиль»</t>
  </si>
  <si>
    <t>43-ОРА3 СК «Олімпійський стиль»
43-ОРА4 СК «Олімпійський стиль»</t>
  </si>
  <si>
    <t>33-ОРА2 
СК «Олімпійський стиль»
43-ОРА1 СК «Олімпійський стиль»
43-ОРА2 СК «Олімпійський стиль»</t>
  </si>
  <si>
    <t xml:space="preserve">32-ВВ СК «Олімпійський стиль»
23-ФВ2 СК «Олімпійський стиль»
</t>
  </si>
  <si>
    <t xml:space="preserve">23-ФВ2  
 СК «Олімпійський стиль»
</t>
  </si>
  <si>
    <t>23-ФВ2</t>
  </si>
  <si>
    <t>Персон.тренінг</t>
  </si>
  <si>
    <t>Персон.тренінг 6.10</t>
  </si>
  <si>
    <r>
      <t xml:space="preserve">43-ОРА1 СК «Олімпійський стиль»
43-ОРА2 СК «Олімпійський стиль»
</t>
    </r>
    <r>
      <rPr>
        <sz val="11"/>
        <color rgb="FFFF0000"/>
        <rFont val="Times New Roman"/>
        <family val="1"/>
        <charset val="204"/>
      </rPr>
      <t>33-ОРА3 
СК «Олімпійський стиль»</t>
    </r>
  </si>
  <si>
    <t>33-ОРА1 
СК «Олімпійський стиль»</t>
  </si>
  <si>
    <t>42МЕ  СК «Олімпійський стиль»</t>
  </si>
  <si>
    <t>ОТЗ та ЗСЖ</t>
  </si>
  <si>
    <t>спортивна анімація</t>
  </si>
  <si>
    <t>23-ОРА1</t>
  </si>
  <si>
    <t>43-ФВ1</t>
  </si>
  <si>
    <t>21-СІ1</t>
  </si>
  <si>
    <t>13-ОРА1</t>
  </si>
  <si>
    <t>13-ОРА2</t>
  </si>
  <si>
    <t>Катерина У.М.</t>
  </si>
  <si>
    <t>Парасочка С.В.</t>
  </si>
  <si>
    <t>Горенко</t>
  </si>
  <si>
    <t>12-ЄС1</t>
  </si>
  <si>
    <t>12-ЄС2</t>
  </si>
  <si>
    <t>12-ЛЗ</t>
  </si>
  <si>
    <t>13-ФВ,ІТ</t>
  </si>
  <si>
    <t>Ужвенко</t>
  </si>
  <si>
    <t>Ковальов В.</t>
  </si>
  <si>
    <t>Ковальова Н</t>
  </si>
  <si>
    <t>23-ОРА1 фойє актової зали</t>
  </si>
  <si>
    <t>Лекція Катерина У.М.</t>
  </si>
  <si>
    <t>33-ФВ2</t>
  </si>
  <si>
    <t>33-ІТ</t>
  </si>
  <si>
    <t>Рекреаційні технології3 курс</t>
  </si>
  <si>
    <t>Кенсицька</t>
  </si>
  <si>
    <t>33-ІТ  (1.415)</t>
  </si>
  <si>
    <t>33-ОРА2 (1.421)</t>
  </si>
  <si>
    <t>33-ОРА1  (1.415)</t>
  </si>
  <si>
    <t>33-ОРА3  (1.415)</t>
  </si>
  <si>
    <t>Омельченко</t>
  </si>
  <si>
    <t>31-СІ1 (1.415),  
31-СІ2 (1.417)</t>
  </si>
  <si>
    <t>11-СІ1 (1.417) 
31-ФБ2 (1.415)</t>
  </si>
  <si>
    <t>11-СІ2 (1.417), 
11-ХТ1 (1.415)</t>
  </si>
  <si>
    <t>Підгайна</t>
  </si>
  <si>
    <t>Блистів</t>
  </si>
  <si>
    <t>Коваленко</t>
  </si>
  <si>
    <t>Жовтенко</t>
  </si>
  <si>
    <t>Довгич</t>
  </si>
  <si>
    <t>23-ІТ</t>
  </si>
  <si>
    <t>23-ІТ (1.411)</t>
  </si>
  <si>
    <t>08.09.</t>
  </si>
  <si>
    <t>Пальчук</t>
  </si>
  <si>
    <t>Козакова К.</t>
  </si>
  <si>
    <t>Сухомлинов</t>
  </si>
  <si>
    <t>Лекція Андрєєва О.В.</t>
  </si>
  <si>
    <t>42МЕ  
СК «Олімпійський стиль»
33-ОРА3 
СК «Олімпійський стиль»</t>
  </si>
  <si>
    <t>Фітнес технології 2 курс</t>
  </si>
  <si>
    <t>Анікєєв</t>
  </si>
  <si>
    <t>Лекція Довгич</t>
  </si>
  <si>
    <t>Фітнес і рекреація (зумба 30 годин, аква</t>
  </si>
  <si>
    <t>Кабалінова</t>
  </si>
  <si>
    <t>Сімченко</t>
  </si>
  <si>
    <t>41-ОРА1, зал фітнесу
43-ОРА2 зал фітнесу</t>
  </si>
  <si>
    <t>41-ОРА3, зал фітнесу
43-ОРА4 зал фітнесу</t>
  </si>
  <si>
    <t>Лекція 014 СО, 43-ФВ1  Омельченко Т.Г.</t>
  </si>
  <si>
    <t>Лекція 014 СО, 43-ФВ1  Омельченко Т.Г.
33-ФВ2 (1.415)</t>
  </si>
  <si>
    <t>43-ФВ1 (1.415)</t>
  </si>
  <si>
    <t>23-ОРА1 СК Олімпійський стиль</t>
  </si>
  <si>
    <t>23-ОРА2 СК Олімпійський стиль</t>
  </si>
  <si>
    <t>33-ОРА1 (1.417)</t>
  </si>
  <si>
    <t>33-ОРА3 (1.417)</t>
  </si>
  <si>
    <t>33-ОРА2 (1.417)</t>
  </si>
  <si>
    <t>Галета</t>
  </si>
  <si>
    <t xml:space="preserve">23-ІТ (1.411)
</t>
  </si>
  <si>
    <t>33-ФВ1</t>
  </si>
  <si>
    <t>33-ФВ1 (1.411)</t>
  </si>
  <si>
    <t>43-ФВ1 фойє актової зали</t>
  </si>
  <si>
    <t>33-ОРА3(1.417)</t>
  </si>
  <si>
    <t>СПА</t>
  </si>
  <si>
    <t>23-ФВ2  
 СК «Олімпійський стиль»</t>
  </si>
  <si>
    <t>23-ОРА2 (1.411)
43-ТР5 (1.401)</t>
  </si>
  <si>
    <t xml:space="preserve">23-ОРА2 (1.411)
</t>
  </si>
  <si>
    <t>23-ТР4</t>
  </si>
  <si>
    <t>23-ТР8</t>
  </si>
  <si>
    <t>Лекція 014 СО, 43-ФВ1  Горенко З.А.
33-ФВ2 (1.415)</t>
  </si>
  <si>
    <t>Лекція 014 СО, 43-ФВ1 Горенко З.А.
33-ФВ2 (1.415)</t>
  </si>
  <si>
    <t>Лекція 014 СО, 43-ФВ1 Горенко З.А,
33-ФВ2 (1.415)</t>
  </si>
  <si>
    <t xml:space="preserve"> 1 Лекція тренерський факультет
 3 курс 
Омельченко Т.Г.</t>
  </si>
  <si>
    <t>11-ФБ1 (1.415)
11-ФБ2 (1.417)
2 Лекція тренерський факультет
 3 курс 
Омельченко Т.Г.</t>
  </si>
  <si>
    <t>3 Лекція тренерський факультет
 3 курс 
Омельченко Т.Г.</t>
  </si>
  <si>
    <t>11-ФБ1 (1.415)
11-ФБ2 (1.417)
4 Лекція тренерський факультет
 3 курс 
Омельченко Т.Г.</t>
  </si>
  <si>
    <t>5 Лекція тренерський факультет
 3 курс 
Омельченко Т.Г.</t>
  </si>
  <si>
    <t>1 Лекція ННІЗРФВ 3 курс Омельченко Т.Г.</t>
  </si>
  <si>
    <t>2 Лекція ННІЗРФВ 3 курс Омельченко Т.Г.</t>
  </si>
  <si>
    <t>3 Лекція ННІЗРФВ 3 курс Омельченко Т.Г.</t>
  </si>
  <si>
    <t>4 Лекція ННІЗРФВ 3 курс Омельченко Т.Г.</t>
  </si>
  <si>
    <t xml:space="preserve">
33-ОРА3 
СК «Олімпійський стиль»</t>
  </si>
  <si>
    <t xml:space="preserve">11-ФБ1 (1.415)
</t>
  </si>
  <si>
    <t>11-ФБ2 (1.417)</t>
  </si>
  <si>
    <t>11-ФБ1 (1.415)
6 Лекція тренерський факультет
 3 курс 
Горенко З.А.</t>
  </si>
  <si>
    <t>5 Лекція ННІЗРФВ 3 курс Омельченко Т.Г.</t>
  </si>
  <si>
    <t>33-ФВ1 (1.415)</t>
  </si>
  <si>
    <t xml:space="preserve">
11-СГ1 (1.418)</t>
  </si>
  <si>
    <t>Лекція ННІЗРФВ 3 курс.</t>
  </si>
  <si>
    <t>Лекція ННІЗРФВ 3 курс</t>
  </si>
  <si>
    <t xml:space="preserve">43-ОРА1 СК «Олімпійський стиль»
43-ОРА2 СК «Олімпійський стиль»
</t>
  </si>
  <si>
    <t xml:space="preserve">Лекція тренерський факультет
 1 курс </t>
  </si>
  <si>
    <t xml:space="preserve">31-ХТ1 (1.415),
31-ФБ 3 (1.417)
Лекція тренерський факультет
 1 курс </t>
  </si>
  <si>
    <t xml:space="preserve"> 8 Лекція тренерський факультет
 3 курс 
</t>
  </si>
  <si>
    <t xml:space="preserve">7 Лекція тренерський факультет
 3 курс 
</t>
  </si>
  <si>
    <t>Лекція 014 СО, 43-ФВ1</t>
  </si>
  <si>
    <t xml:space="preserve">
Лекція тренерський факультет
 1 курс </t>
  </si>
  <si>
    <t xml:space="preserve">11-СІ1 (1.417) 
</t>
  </si>
  <si>
    <t xml:space="preserve">
33-ОРА2 (1.421)</t>
  </si>
  <si>
    <t>Дембіцька</t>
  </si>
  <si>
    <t>33-ОРА1 (4.406)</t>
  </si>
  <si>
    <t>33-ОРА2 (1.201), 33-ОРА3 (4.408)</t>
  </si>
  <si>
    <t>33-ФВ1 (1.421), 33-ОРА3  (4.408)</t>
  </si>
  <si>
    <t xml:space="preserve"> </t>
  </si>
  <si>
    <t>33-ФВ2( 4.401), 33-ІТ (4.408)</t>
  </si>
  <si>
    <t xml:space="preserve">
43-ОРА1 СК «Олімпійський стиль»
43-ОРА2 СК «Олімпійський стиль»</t>
  </si>
  <si>
    <t>32-ВВ СК «Олімпійський стиль»</t>
  </si>
  <si>
    <t>Лекція Козакова К.Г.</t>
  </si>
  <si>
    <t>43-ФВ1 на виїзді</t>
  </si>
  <si>
    <t>23-ОРА1 на виїзді</t>
  </si>
  <si>
    <t>Актуальні проблеми
персонального тренування</t>
  </si>
  <si>
    <t>Сучасні технології розвитку професійної майстерності у фітнесі та
велнесі</t>
  </si>
  <si>
    <t>1 М3-ОРА1 Сучасні технології розвитку професійної майстерності у фітнесі та
велнесі</t>
  </si>
  <si>
    <t>23-ОРА2 (1.411)
43-ТР5 (4.401)</t>
  </si>
  <si>
    <t xml:space="preserve">32-ЄС2 (1.411)
43-ТР6 (4.401)
</t>
  </si>
  <si>
    <t>43-ТР4 (4.401)</t>
  </si>
  <si>
    <t>33-ФВ1 (4.411)</t>
  </si>
  <si>
    <t>Ковальова В</t>
  </si>
  <si>
    <t>12-ВВ, МЕ1</t>
  </si>
  <si>
    <t>Персон.тренінг  6.10</t>
  </si>
  <si>
    <t>Парасочка</t>
  </si>
  <si>
    <t>13-ФВ2</t>
  </si>
  <si>
    <t>30 год</t>
  </si>
  <si>
    <t>11-СГ1 (1.415), 31-ФБ 1 (1.410)</t>
  </si>
  <si>
    <t>31-СГ2 (1.415),
33-ОРА2 (1.421)</t>
  </si>
  <si>
    <t>Лекція  014 СО Благій О.Л.
33-ОРА2 (1.418)</t>
  </si>
  <si>
    <t>Лекція  014 СО Дутчак М.В</t>
  </si>
  <si>
    <t>Лекція ННІЗРФВ Дутчак М.В</t>
  </si>
  <si>
    <t>Лекція ННІЗРФВ Благій О.Л.</t>
  </si>
  <si>
    <t>Лекція ННІЗРФВ Дутчак</t>
  </si>
  <si>
    <t xml:space="preserve">Лекція  014 СО Дутчак </t>
  </si>
  <si>
    <t xml:space="preserve">Лекція ННІЗРФВ Дутчак </t>
  </si>
  <si>
    <t>Лекція  014 СО Дутчак 
33-ОРА2 (1.418)</t>
  </si>
  <si>
    <t xml:space="preserve">Лекція  014 СО Благій </t>
  </si>
  <si>
    <t>Лекція  014 СО Єракова</t>
  </si>
  <si>
    <t>Лекція  014 СО Василенко</t>
  </si>
  <si>
    <t>Лекція ННІЗРФВ Благій
33-ФВ1 (1.415)</t>
  </si>
  <si>
    <t>Лекція  014 СО Єракова
33-ОРА2 (1.418)</t>
  </si>
  <si>
    <t>Лекція  014 СО Василенко 
33-ОРА2 (1.418)</t>
  </si>
  <si>
    <t>33-ОРА2 (1.201), 33-ОРА3 (4.418)</t>
  </si>
  <si>
    <t>33-ОРА1  (1.418)</t>
  </si>
  <si>
    <t>22-ВВ 
СК «Олімпійський стиль»</t>
  </si>
  <si>
    <t>23-ФВ2  
 СК «Олімпійський стиль»
22-ВВ 
СК «Олімпійський стиль»</t>
  </si>
  <si>
    <t>22-ЄС2  (1.411)</t>
  </si>
  <si>
    <t>9.10</t>
  </si>
  <si>
    <t xml:space="preserve">Підгайна </t>
  </si>
  <si>
    <t>13-ОРА1  СК «Олімпійський стиль»</t>
  </si>
  <si>
    <t>13-ОРА2  СК «Олімпійський стиль»</t>
  </si>
  <si>
    <t>13-ФВ2  СК «Олімпійський стиль»</t>
  </si>
  <si>
    <t>41-ОРА3, басейн, 6 корпус
43-ОРА4 басейн, 6 корпус</t>
  </si>
  <si>
    <t>41-ОРА1, басейн, 6 корпус
43-ОРА2 басейн, 6 корпус</t>
  </si>
  <si>
    <t>13-ОРА2 фойє актової зали</t>
  </si>
  <si>
    <t>Лекція 014 СО, 43-ФВ1 
33-ФВ2 (1.415)</t>
  </si>
  <si>
    <t>33-ФВ2 (1.415)</t>
  </si>
  <si>
    <t xml:space="preserve">Персон.тренінг </t>
  </si>
  <si>
    <t>2 семетр</t>
  </si>
  <si>
    <t>23-ТР4 СК «Олімпійський стиль»</t>
  </si>
  <si>
    <t>23-ТР8 СК «Олімпійський стиль»</t>
  </si>
  <si>
    <t>23-ФВ2   СК «Олімпійський стиль»
22-ВВ  СК «Олімпійський стиль»</t>
  </si>
  <si>
    <t>33-ІТ (1.411)</t>
  </si>
  <si>
    <t xml:space="preserve">23-ОРА2 (4.401)
</t>
  </si>
  <si>
    <t>23-ОРА2 (4.401)
43-ТР5 (1.411)</t>
  </si>
  <si>
    <t>32-ЄС2 (4.401)
43-ТР6 (1.411)</t>
  </si>
  <si>
    <t>43-ТР4 (4.411)</t>
  </si>
  <si>
    <t xml:space="preserve">Шиманський </t>
  </si>
  <si>
    <t>1М3-ФВ2 Оздоровчо-рекреаційні 
технології у фізичному вихованні, Блистів</t>
  </si>
  <si>
    <t>1М3-ОРА1 Актуальні проблеми
персонального тренування</t>
  </si>
  <si>
    <t>1М3-ОРА1 Сучасні технології розвитку професійної майстерності у фітнесі та
велнесі</t>
  </si>
  <si>
    <t>1М3-ОРА1 Сучасні тренди фітнес-індустрії,
Катерина У.М.</t>
  </si>
  <si>
    <t>1М3-ОРА1 Менеджмент екстремальних видів 
фізичної рекреації
 (12 годин Блистів, 12 годин Сога)</t>
  </si>
  <si>
    <t>13-ФВ2 басейн 6 корпус</t>
  </si>
  <si>
    <t>21-СІ1  зал фітнесу</t>
  </si>
  <si>
    <t>23-ТР6 (1.411)</t>
  </si>
  <si>
    <t xml:space="preserve">33-ФВ1 (1.411)
</t>
  </si>
  <si>
    <t>Благій</t>
  </si>
  <si>
    <t>23-ТР6</t>
  </si>
  <si>
    <t>Сухомлинов.</t>
  </si>
  <si>
    <t>Пальчук.</t>
  </si>
  <si>
    <t>з 29.09 по 18.10 Шиманський 8годин</t>
  </si>
  <si>
    <t>Лекція ННІЗРФВ Єракова</t>
  </si>
  <si>
    <t>Лекція ННІЗРФВ Василенко</t>
  </si>
  <si>
    <t>1М3-ОРА1 Актуальні проблеми
персонального тренування Благій</t>
  </si>
  <si>
    <t>Актуальні проблеми
персонального тренування Благій</t>
  </si>
  <si>
    <t>Сучасні технології розвитку професійної 
майстерності у фітнесі та велнесі Воробйова</t>
  </si>
  <si>
    <t>1М3-ОРА1 Сучасні технології розвитку професійної майстерності у фітнесі та
велнесі Воробйова</t>
  </si>
  <si>
    <t xml:space="preserve">1М3-ФВ2 Оздоровчо-рекреаційні 
технології у фізичному вихованні, Блистів
2М3-ОРА1 Раціональне харчування Омельченко
2М3-ОРА2 Стратегії
реабілітаційного
фітнесу різних груп
населення (Василенко, Єракова, Горенко)
</t>
  </si>
  <si>
    <r>
      <t xml:space="preserve">1М3-ОРА1 Актуальні проблеми
персонального тренування Благій
</t>
    </r>
    <r>
      <rPr>
        <b/>
        <sz val="11"/>
        <rFont val="Times New Roman"/>
        <family val="1"/>
        <charset val="204"/>
      </rPr>
      <t>2М3-ОРА1, 2М3-ОРА2, 2М3-ОРА3</t>
    </r>
    <r>
      <rPr>
        <sz val="11"/>
        <rFont val="Times New Roman"/>
        <family val="1"/>
        <charset val="204"/>
      </rPr>
      <t xml:space="preserve">
</t>
    </r>
    <r>
      <rPr>
        <b/>
        <sz val="11"/>
        <rFont val="Times New Roman"/>
        <family val="1"/>
        <charset val="204"/>
      </rPr>
      <t xml:space="preserve">Стратегії реабілітаційного фітнесу різних груп населення Лекція
</t>
    </r>
    <r>
      <rPr>
        <sz val="11"/>
        <rFont val="Times New Roman"/>
        <family val="1"/>
        <charset val="204"/>
      </rPr>
      <t>2М3-ФСР1 Інноваційні технології адаптивної
фізичної рекреації (Гакман 12 годин, 
Ковальова 12 годин)</t>
    </r>
  </si>
  <si>
    <r>
      <t xml:space="preserve">2М3-ОРА1, 2М3-ОРА2, 2М3-ОРА3 Раціональне харчування у фітнесі
</t>
    </r>
    <r>
      <rPr>
        <sz val="11"/>
        <rFont val="Times New Roman"/>
        <family val="1"/>
        <charset val="204"/>
      </rPr>
      <t>2М3-ФСР1 Стратегія реабілітаційного фітнесу
різних груп населення (Горенко -години, Єракова - 6 годин, Василенко - 14 годин)</t>
    </r>
    <r>
      <rPr>
        <b/>
        <sz val="11"/>
        <rFont val="Times New Roman"/>
        <family val="1"/>
        <charset val="204"/>
      </rPr>
      <t xml:space="preserve">
</t>
    </r>
  </si>
  <si>
    <r>
      <t xml:space="preserve">1М3-ОРА1 Актуальні проблеми
персонального тренування Благій
</t>
    </r>
    <r>
      <rPr>
        <b/>
        <sz val="11"/>
        <rFont val="Times New Roman"/>
        <family val="1"/>
        <charset val="204"/>
      </rPr>
      <t xml:space="preserve">
</t>
    </r>
    <r>
      <rPr>
        <sz val="11"/>
        <rFont val="Times New Roman"/>
        <family val="1"/>
        <charset val="204"/>
      </rPr>
      <t>2М3-ФСР1 Інноваційні технології адаптивної
фізичної рекреації (Гакман 12 годин, 
Ковальова 12 годин)</t>
    </r>
  </si>
  <si>
    <t>2М3-ОРА1,2,3 Стандартизація та сертифікація професійної діяльності фахівців з
фітнесу лекція  Катерина</t>
  </si>
  <si>
    <t>2М3-ОРА1,2,3 Стандартизація та сертифікація професійної діяльності фахівців з
фітнесу лекція  Дутчак</t>
  </si>
  <si>
    <t>1М3-ОРА1 Сучасні технології розвитку професійної майстерності у фітнесі та
велнесі Воробйова
2М3-ОРА2 Раціональне харчування Омельченко
2М3-ОРА1 Інноваційні технології
online-фітнесу (Довгич 12 годин, Анікєєв 12 годин)</t>
  </si>
  <si>
    <t xml:space="preserve">2М3-ОРА2 Інноваційні технології
online-фітнесу (Довгич 12 годин, Анікєєв 12 годин)
2М3-ОРА1 Стратегії
реабілітаційного
фітнесу різних груп
населення (Василенко, Єракова, Горенко)
</t>
  </si>
  <si>
    <t>33-ОРА1  (4.405)</t>
  </si>
  <si>
    <t xml:space="preserve">
2М3-ОРА2 Раціональне харчування Омельченко
2М3-ОРА1 Стратегії
реабілітаційного
фітнесу різних груп
населення (Василенко, Єракова, Горенко)</t>
  </si>
  <si>
    <t>23-ТР4 (СК «Олімпійський стиль»)</t>
  </si>
  <si>
    <t>23-ТР8 (СК «Олімпійський стиль»)</t>
  </si>
  <si>
    <t>43-ОРА3 (СК «Олімпійський стиль»),
43-ОРА4 (СК «Олімпійський стиль»)</t>
  </si>
  <si>
    <t>43-ОРА1 (СК «Олімпійський стиль»),
43-ОРА2 (СК «Олімпійський стиль»)</t>
  </si>
  <si>
    <t>33-ОРА2 (СК «Олімпійський стиль»)</t>
  </si>
  <si>
    <t>13-ФВ2 (СК «Олімпійський стиль»)</t>
  </si>
  <si>
    <t>13-ОРА1  (СК «Олімпійський стиль»)</t>
  </si>
  <si>
    <t>13-ОРА2  (СК «Олімпійський стиль»)</t>
  </si>
  <si>
    <t>32-ВВ1 (НОК «Олімпійський стиль»)</t>
  </si>
  <si>
    <t>22-ВВ  (СК «Олімпійський стиль»)</t>
  </si>
  <si>
    <t>23-ФВ2  (СК «Олімпійський стиль»),
22-ВВ  (СК «Олімпійський стиль»)</t>
  </si>
  <si>
    <t>22-ЄС2 (1.411)</t>
  </si>
  <si>
    <t>23-ОРА2 (4.401)</t>
  </si>
  <si>
    <t>23-ОРА2 (4.401),
43-ТР5 (1.411)</t>
  </si>
  <si>
    <t>43-ТР6 (1.411),
32-ЄС2 (4.401)</t>
  </si>
  <si>
    <t>43-ТР4 (1.411)</t>
  </si>
  <si>
    <t>33-ФВ1 (1.421)</t>
  </si>
  <si>
    <t>13-ФВ2 (басейн, 9 корп.)</t>
  </si>
  <si>
    <t>43-ФВ1  (на виїзді)</t>
  </si>
  <si>
    <t>21-СІ1  (зал фітнесу, 6 корп.)</t>
  </si>
  <si>
    <t>23-ОРА1  (на виїзді)</t>
  </si>
  <si>
    <t>33-ОРА2 (1.201),
33-ОРА3 (4.408)</t>
  </si>
  <si>
    <t>33-ФВ1 (1.421),
33-ОРА3 (4.408)</t>
  </si>
  <si>
    <t>23-ОРА2  (НОК «Олімпійський стиль»)</t>
  </si>
  <si>
    <t>23-ОРА1  (НОК «Олімпійський стиль»)</t>
  </si>
  <si>
    <t>43-ОРА1 (6 корп., басейн),
43-ОРА2 (6 корп., басейн)</t>
  </si>
  <si>
    <t>43-ОРА3 (6 корп., басейн),
43-ОРА4 (6 корп., басейн)</t>
  </si>
  <si>
    <t>12-ЄС2 (1.417),
 11-ФБ1 (1.415)</t>
  </si>
  <si>
    <t>11-ФБ1 (1.415),
12-ЄС2 (1.417)</t>
  </si>
  <si>
    <t>12-ЄС2 (1.417)</t>
  </si>
  <si>
    <t>11-ФБ2 (1.415),
12-ЛЗ (1.417)</t>
  </si>
  <si>
    <t>12-ЛЗ (1.417)</t>
  </si>
  <si>
    <t>11-СІ1 (1.415),
12-ВВ, МЕ1 (1.417)</t>
  </si>
  <si>
    <t>12-ВВ, МЕ1 (1.417)</t>
  </si>
  <si>
    <t>11-ХТ1 (1.418)</t>
  </si>
  <si>
    <t>11-СГ1 (1.418)</t>
  </si>
  <si>
    <t>11-СГ2 (1.417),
13-ОРА2 (1.418)</t>
  </si>
  <si>
    <t>11-СІ2 (1.417),
13-ОРА1 (1.418)</t>
  </si>
  <si>
    <t>13-ФВ2, ІТ (1.418)</t>
  </si>
  <si>
    <t>33-ОРА1,
33-ОРА2,
33-ОРА3,
33-ФВ2,
33-ІТ</t>
  </si>
  <si>
    <t>13-ОРА2 (1.418)</t>
  </si>
  <si>
    <t>13-ОРА1 (1.418)</t>
  </si>
  <si>
    <t>13-ОРА1 (фойє актового залу)</t>
  </si>
  <si>
    <t>13-ОРА2 (фойє актового залу)</t>
  </si>
  <si>
    <t>23-ФВ2  (СК «Олімпійський стиль»), 32-ВВ1 (НОК «Олімпійський стиль»)</t>
  </si>
  <si>
    <t>32-ЄС2 (4.401)</t>
  </si>
  <si>
    <r>
      <t xml:space="preserve">1М3-ОРА1 Актуальні проблеми
персонального тренування Благій
</t>
    </r>
    <r>
      <rPr>
        <b/>
        <sz val="11"/>
        <rFont val="Times New Roman"/>
        <family val="1"/>
        <charset val="204"/>
      </rPr>
      <t xml:space="preserve">
</t>
    </r>
    <r>
      <rPr>
        <sz val="11"/>
        <rFont val="Times New Roman"/>
        <family val="1"/>
        <charset val="204"/>
      </rPr>
      <t>2М3-ФСР1 Інноваційні технології адаптивної
фізичної рекреації (Гакман 12 годин, 
Ковальова 12 годин)
2М3-ОРА1 Стандартизація та
сертифікація
професійної діяльності
фахівців з фітнесу  (Дутчак, Катерина)</t>
    </r>
  </si>
  <si>
    <t>2М3-ОРА2 Стандартизація та
сертифікація
професійної діяльності
фахівців з фітнесу  (Дутчак, Катерина)</t>
  </si>
  <si>
    <t xml:space="preserve">2М3-ФСР1 Інноваційні технології адаптивної
фізичної рекреації (Гакман 12 годин, 
Ковальова 12 годин)
2М3-ОРА1 Стандартизація та
сертифікація
професійної діяльності
фахівців з фітнесу  (Дутчак, Катерина)
2М3-ОРА2 Інноваційні технології
online-фітнесу (Довгич 12 годин, Анікєєв 12 годин)
</t>
  </si>
  <si>
    <t>2М3-ФСР1 Інноваційні технології адаптивної
фізичної рекреації (Гакман 12 годин, 
Ковальова 12 годин)</t>
  </si>
  <si>
    <t xml:space="preserve">2М3-ОРА2 Стандартизація та
сертифікація
професійної діяльності
фахівців з фітнесу  (Дутчак, Катерина)
2М3-ОРА1 Інноваційні технології
online-фітнесу (Довгич 12 годин, Анікєєв 12 годин)
2М3-ФСР1 Стратегія реабілітаційного фітнесу
різних груп населення (Горенко -години, Єракова - 6 годин, Василенко - 14 годин)
</t>
  </si>
  <si>
    <t xml:space="preserve">2М3-ОРА2 Інноваційні технології
online-фітнесу (Довгич 12 годин, Анікєєв 12 годин)
2М3-ОРА1 Раціональне харчування Омельченко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</si>
</sst>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1"/>
      <name val="Times New Roman"/>
      <family val="1"/>
      <charset val="204"/>
    </font>
    <font>
      <b/>
      <sz val="11"/>
      <name val="Times New Roman"/>
      <family val="1"/>
      <charset val="204"/>
    </font>
    <font>
      <b/>
      <i/>
      <sz val="36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b/>
      <sz val="16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1"/>
      <color rgb="FF000000"/>
      <name val="Calibri"/>
      <family val="2"/>
      <charset val="204"/>
    </font>
    <font>
      <sz val="14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1"/>
      <color rgb="FFFF0000"/>
      <name val="Times New Roman"/>
      <family val="1"/>
      <charset val="204"/>
    </font>
    <font>
      <b/>
      <i/>
      <sz val="20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2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 style="thick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97">
    <xf numFmtId="0" fontId="0" fillId="0" borderId="0" xfId="0"/>
    <xf numFmtId="0" fontId="8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6" xfId="0" applyNumberFormat="1" applyFont="1" applyBorder="1" applyAlignment="1">
      <alignment horizontal="center" vertical="center"/>
    </xf>
    <xf numFmtId="49" fontId="1" fillId="0" borderId="7" xfId="0" applyNumberFormat="1" applyFont="1" applyBorder="1" applyAlignment="1">
      <alignment horizontal="center" vertical="center"/>
    </xf>
    <xf numFmtId="49" fontId="1" fillId="0" borderId="8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49" fontId="1" fillId="2" borderId="6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1" fillId="2" borderId="7" xfId="0" applyNumberFormat="1" applyFont="1" applyFill="1" applyBorder="1" applyAlignment="1">
      <alignment horizontal="center" vertical="center"/>
    </xf>
    <xf numFmtId="49" fontId="1" fillId="2" borderId="8" xfId="0" applyNumberFormat="1" applyFont="1" applyFill="1" applyBorder="1" applyAlignment="1">
      <alignment horizontal="center" vertical="center"/>
    </xf>
    <xf numFmtId="49" fontId="1" fillId="2" borderId="10" xfId="0" applyNumberFormat="1" applyFont="1" applyFill="1" applyBorder="1" applyAlignment="1">
      <alignment horizontal="center" vertical="center"/>
    </xf>
    <xf numFmtId="49" fontId="1" fillId="0" borderId="0" xfId="0" applyNumberFormat="1" applyFont="1" applyAlignment="1">
      <alignment horizontal="left" vertical="center"/>
    </xf>
    <xf numFmtId="14" fontId="4" fillId="0" borderId="7" xfId="0" applyNumberFormat="1" applyFont="1" applyBorder="1" applyAlignment="1">
      <alignment horizontal="center" vertical="center"/>
    </xf>
    <xf numFmtId="49" fontId="2" fillId="0" borderId="0" xfId="0" applyNumberFormat="1" applyFont="1" applyAlignment="1">
      <alignment horizontal="left" vertical="center"/>
    </xf>
    <xf numFmtId="14" fontId="2" fillId="0" borderId="6" xfId="0" applyNumberFormat="1" applyFont="1" applyBorder="1" applyAlignment="1">
      <alignment horizontal="center" vertical="center"/>
    </xf>
    <xf numFmtId="14" fontId="2" fillId="0" borderId="7" xfId="0" applyNumberFormat="1" applyFont="1" applyBorder="1" applyAlignment="1">
      <alignment horizontal="center" vertical="center"/>
    </xf>
    <xf numFmtId="14" fontId="2" fillId="0" borderId="8" xfId="0" applyNumberFormat="1" applyFont="1" applyBorder="1" applyAlignment="1">
      <alignment horizontal="center" vertical="center"/>
    </xf>
    <xf numFmtId="14" fontId="2" fillId="2" borderId="6" xfId="0" applyNumberFormat="1" applyFont="1" applyFill="1" applyBorder="1" applyAlignment="1">
      <alignment horizontal="center" vertical="center"/>
    </xf>
    <xf numFmtId="14" fontId="2" fillId="2" borderId="7" xfId="0" applyNumberFormat="1" applyFont="1" applyFill="1" applyBorder="1" applyAlignment="1">
      <alignment horizontal="center" vertical="center"/>
    </xf>
    <xf numFmtId="14" fontId="2" fillId="2" borderId="7" xfId="0" applyNumberFormat="1" applyFont="1" applyFill="1" applyBorder="1" applyAlignment="1">
      <alignment horizontal="center" vertical="center" wrapText="1"/>
    </xf>
    <xf numFmtId="14" fontId="2" fillId="2" borderId="8" xfId="0" applyNumberFormat="1" applyFont="1" applyFill="1" applyBorder="1" applyAlignment="1">
      <alignment horizontal="center" vertical="center"/>
    </xf>
    <xf numFmtId="14" fontId="1" fillId="2" borderId="6" xfId="0" applyNumberFormat="1" applyFont="1" applyFill="1" applyBorder="1" applyAlignment="1">
      <alignment horizontal="center" vertical="center"/>
    </xf>
    <xf numFmtId="14" fontId="4" fillId="2" borderId="7" xfId="0" applyNumberFormat="1" applyFont="1" applyFill="1" applyBorder="1" applyAlignment="1">
      <alignment horizontal="center" vertical="top" wrapText="1"/>
    </xf>
    <xf numFmtId="14" fontId="4" fillId="2" borderId="7" xfId="0" applyNumberFormat="1" applyFont="1" applyFill="1" applyBorder="1" applyAlignment="1">
      <alignment horizontal="center" vertical="center" wrapText="1"/>
    </xf>
    <xf numFmtId="14" fontId="4" fillId="0" borderId="6" xfId="0" applyNumberFormat="1" applyFont="1" applyBorder="1" applyAlignment="1">
      <alignment horizontal="center" vertical="center"/>
    </xf>
    <xf numFmtId="14" fontId="5" fillId="0" borderId="7" xfId="0" applyNumberFormat="1" applyFont="1" applyBorder="1" applyAlignment="1">
      <alignment horizontal="center" vertical="center"/>
    </xf>
    <xf numFmtId="14" fontId="4" fillId="0" borderId="7" xfId="0" applyNumberFormat="1" applyFont="1" applyBorder="1" applyAlignment="1">
      <alignment horizontal="center" vertical="center" wrapText="1"/>
    </xf>
    <xf numFmtId="14" fontId="5" fillId="0" borderId="8" xfId="0" applyNumberFormat="1" applyFont="1" applyBorder="1" applyAlignment="1">
      <alignment horizontal="center" vertical="center"/>
    </xf>
    <xf numFmtId="14" fontId="5" fillId="0" borderId="6" xfId="0" applyNumberFormat="1" applyFont="1" applyBorder="1" applyAlignment="1">
      <alignment horizontal="center" vertical="center"/>
    </xf>
    <xf numFmtId="14" fontId="4" fillId="0" borderId="8" xfId="0" applyNumberFormat="1" applyFont="1" applyBorder="1" applyAlignment="1">
      <alignment horizontal="center" vertical="center"/>
    </xf>
    <xf numFmtId="14" fontId="4" fillId="2" borderId="6" xfId="0" applyNumberFormat="1" applyFont="1" applyFill="1" applyBorder="1" applyAlignment="1">
      <alignment horizontal="center" vertical="center"/>
    </xf>
    <xf numFmtId="14" fontId="4" fillId="2" borderId="7" xfId="0" applyNumberFormat="1" applyFont="1" applyFill="1" applyBorder="1" applyAlignment="1">
      <alignment horizontal="center" vertical="center"/>
    </xf>
    <xf numFmtId="14" fontId="4" fillId="2" borderId="8" xfId="0" applyNumberFormat="1" applyFont="1" applyFill="1" applyBorder="1" applyAlignment="1">
      <alignment horizontal="center" vertical="center"/>
    </xf>
    <xf numFmtId="14" fontId="5" fillId="2" borderId="6" xfId="0" applyNumberFormat="1" applyFont="1" applyFill="1" applyBorder="1" applyAlignment="1">
      <alignment horizontal="center" vertical="center"/>
    </xf>
    <xf numFmtId="14" fontId="4" fillId="0" borderId="11" xfId="0" applyNumberFormat="1" applyFont="1" applyBorder="1" applyAlignment="1">
      <alignment horizontal="center" vertical="center"/>
    </xf>
    <xf numFmtId="14" fontId="4" fillId="0" borderId="12" xfId="0" applyNumberFormat="1" applyFont="1" applyBorder="1" applyAlignment="1">
      <alignment horizontal="center" vertical="center"/>
    </xf>
    <xf numFmtId="14" fontId="5" fillId="0" borderId="12" xfId="0" applyNumberFormat="1" applyFont="1" applyBorder="1" applyAlignment="1">
      <alignment horizontal="center" vertical="center"/>
    </xf>
    <xf numFmtId="14" fontId="4" fillId="0" borderId="12" xfId="0" applyNumberFormat="1" applyFont="1" applyBorder="1" applyAlignment="1">
      <alignment horizontal="center" vertical="center" wrapText="1"/>
    </xf>
    <xf numFmtId="14" fontId="5" fillId="0" borderId="13" xfId="0" applyNumberFormat="1" applyFont="1" applyBorder="1" applyAlignment="1">
      <alignment horizontal="center" vertical="center"/>
    </xf>
    <xf numFmtId="14" fontId="5" fillId="0" borderId="10" xfId="0" applyNumberFormat="1" applyFont="1" applyBorder="1" applyAlignment="1">
      <alignment horizontal="center" vertical="center"/>
    </xf>
    <xf numFmtId="0" fontId="0" fillId="3" borderId="0" xfId="0" applyFill="1"/>
    <xf numFmtId="0" fontId="8" fillId="3" borderId="1" xfId="0" applyFont="1" applyFill="1" applyBorder="1" applyAlignment="1">
      <alignment horizontal="center" vertical="center"/>
    </xf>
    <xf numFmtId="14" fontId="5" fillId="3" borderId="6" xfId="0" applyNumberFormat="1" applyFont="1" applyFill="1" applyBorder="1" applyAlignment="1">
      <alignment horizontal="center" vertical="center"/>
    </xf>
    <xf numFmtId="14" fontId="5" fillId="3" borderId="7" xfId="0" applyNumberFormat="1" applyFont="1" applyFill="1" applyBorder="1" applyAlignment="1">
      <alignment horizontal="center" vertical="center"/>
    </xf>
    <xf numFmtId="14" fontId="2" fillId="3" borderId="7" xfId="0" applyNumberFormat="1" applyFont="1" applyFill="1" applyBorder="1" applyAlignment="1">
      <alignment horizontal="center" vertical="center"/>
    </xf>
    <xf numFmtId="14" fontId="4" fillId="3" borderId="7" xfId="0" applyNumberFormat="1" applyFont="1" applyFill="1" applyBorder="1" applyAlignment="1">
      <alignment horizontal="center" vertical="center" wrapText="1"/>
    </xf>
    <xf numFmtId="14" fontId="4" fillId="3" borderId="8" xfId="0" applyNumberFormat="1" applyFont="1" applyFill="1" applyBorder="1" applyAlignment="1">
      <alignment horizontal="center" vertical="center"/>
    </xf>
    <xf numFmtId="14" fontId="2" fillId="3" borderId="8" xfId="0" applyNumberFormat="1" applyFont="1" applyFill="1" applyBorder="1" applyAlignment="1">
      <alignment horizontal="center" vertical="center"/>
    </xf>
    <xf numFmtId="14" fontId="4" fillId="3" borderId="6" xfId="0" applyNumberFormat="1" applyFont="1" applyFill="1" applyBorder="1" applyAlignment="1">
      <alignment horizontal="center" vertical="center"/>
    </xf>
    <xf numFmtId="14" fontId="2" fillId="3" borderId="6" xfId="0" applyNumberFormat="1" applyFont="1" applyFill="1" applyBorder="1" applyAlignment="1">
      <alignment horizontal="center" vertical="center"/>
    </xf>
    <xf numFmtId="14" fontId="4" fillId="3" borderId="7" xfId="0" applyNumberFormat="1" applyFont="1" applyFill="1" applyBorder="1" applyAlignment="1">
      <alignment horizontal="center" vertical="center"/>
    </xf>
    <xf numFmtId="14" fontId="2" fillId="3" borderId="7" xfId="0" applyNumberFormat="1" applyFont="1" applyFill="1" applyBorder="1" applyAlignment="1">
      <alignment horizontal="center" vertical="center" wrapText="1"/>
    </xf>
    <xf numFmtId="14" fontId="2" fillId="3" borderId="10" xfId="0" applyNumberFormat="1" applyFont="1" applyFill="1" applyBorder="1" applyAlignment="1">
      <alignment horizontal="center" vertical="center" wrapText="1"/>
    </xf>
    <xf numFmtId="14" fontId="5" fillId="3" borderId="8" xfId="0" applyNumberFormat="1" applyFont="1" applyFill="1" applyBorder="1" applyAlignment="1">
      <alignment horizontal="center" vertical="center"/>
    </xf>
    <xf numFmtId="14" fontId="10" fillId="3" borderId="8" xfId="0" applyNumberFormat="1" applyFont="1" applyFill="1" applyBorder="1"/>
    <xf numFmtId="49" fontId="1" fillId="0" borderId="10" xfId="0" applyNumberFormat="1" applyFont="1" applyBorder="1" applyAlignment="1">
      <alignment horizontal="center" vertical="center"/>
    </xf>
    <xf numFmtId="14" fontId="2" fillId="0" borderId="10" xfId="0" applyNumberFormat="1" applyFont="1" applyBorder="1" applyAlignment="1">
      <alignment horizontal="center" vertical="center"/>
    </xf>
    <xf numFmtId="14" fontId="4" fillId="0" borderId="10" xfId="0" applyNumberFormat="1" applyFont="1" applyBorder="1" applyAlignment="1">
      <alignment horizontal="center" vertical="center" wrapText="1"/>
    </xf>
    <xf numFmtId="14" fontId="4" fillId="3" borderId="10" xfId="0" applyNumberFormat="1" applyFont="1" applyFill="1" applyBorder="1" applyAlignment="1">
      <alignment horizontal="center" vertical="center" wrapText="1"/>
    </xf>
    <xf numFmtId="14" fontId="2" fillId="3" borderId="10" xfId="0" applyNumberFormat="1" applyFont="1" applyFill="1" applyBorder="1" applyAlignment="1">
      <alignment horizontal="center" vertical="center"/>
    </xf>
    <xf numFmtId="14" fontId="4" fillId="0" borderId="14" xfId="0" applyNumberFormat="1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4" fillId="4" borderId="10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top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10" fillId="4" borderId="8" xfId="0" applyFont="1" applyFill="1" applyBorder="1"/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12" fillId="0" borderId="0" xfId="0" applyFont="1"/>
    <xf numFmtId="0" fontId="9" fillId="4" borderId="1" xfId="0" applyFont="1" applyFill="1" applyBorder="1" applyAlignment="1">
      <alignment horizont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1" fillId="0" borderId="15" xfId="0" applyFont="1" applyBorder="1" applyAlignment="1">
      <alignment horizontal="left" vertical="center"/>
    </xf>
    <xf numFmtId="0" fontId="1" fillId="0" borderId="16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17" xfId="0" applyFont="1" applyBorder="1" applyAlignment="1">
      <alignment horizontal="left" vertical="center"/>
    </xf>
    <xf numFmtId="0" fontId="1" fillId="0" borderId="18" xfId="0" applyFont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14" fontId="9" fillId="0" borderId="1" xfId="0" applyNumberFormat="1" applyFont="1" applyBorder="1" applyAlignment="1">
      <alignment horizontal="center"/>
    </xf>
    <xf numFmtId="0" fontId="2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top" wrapText="1"/>
    </xf>
    <xf numFmtId="0" fontId="2" fillId="0" borderId="16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16" fontId="0" fillId="0" borderId="0" xfId="0" applyNumberFormat="1"/>
    <xf numFmtId="0" fontId="2" fillId="0" borderId="7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2" borderId="7" xfId="0" applyFont="1" applyFill="1" applyBorder="1" applyAlignment="1">
      <alignment horizontal="center" vertical="center" wrapText="1"/>
    </xf>
    <xf numFmtId="0" fontId="2" fillId="0" borderId="17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4" fillId="2" borderId="6" xfId="0" applyFont="1" applyFill="1" applyBorder="1" applyAlignment="1">
      <alignment horizontal="center" vertical="center" wrapText="1"/>
    </xf>
    <xf numFmtId="0" fontId="2" fillId="0" borderId="0" xfId="0" applyFont="1"/>
    <xf numFmtId="0" fontId="14" fillId="0" borderId="0" xfId="0" applyFont="1"/>
    <xf numFmtId="0" fontId="2" fillId="0" borderId="0" xfId="0" applyFont="1" applyAlignment="1">
      <alignment horizontal="center" vertical="center"/>
    </xf>
    <xf numFmtId="16" fontId="2" fillId="0" borderId="0" xfId="0" applyNumberFormat="1" applyFont="1"/>
    <xf numFmtId="0" fontId="5" fillId="0" borderId="6" xfId="0" applyFont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/>
    </xf>
    <xf numFmtId="49" fontId="2" fillId="3" borderId="0" xfId="0" applyNumberFormat="1" applyFont="1" applyFill="1" applyAlignment="1">
      <alignment horizontal="left" vertical="center"/>
    </xf>
    <xf numFmtId="0" fontId="0" fillId="3" borderId="18" xfId="0" applyFill="1" applyBorder="1"/>
    <xf numFmtId="0" fontId="2" fillId="3" borderId="17" xfId="0" applyFont="1" applyFill="1" applyBorder="1" applyAlignment="1">
      <alignment horizontal="left" vertical="center"/>
    </xf>
    <xf numFmtId="0" fontId="0" fillId="3" borderId="17" xfId="0" applyFill="1" applyBorder="1"/>
    <xf numFmtId="0" fontId="0" fillId="5" borderId="17" xfId="0" applyFill="1" applyBorder="1"/>
    <xf numFmtId="0" fontId="0" fillId="5" borderId="18" xfId="0" applyFill="1" applyBorder="1"/>
    <xf numFmtId="0" fontId="2" fillId="0" borderId="18" xfId="0" applyFont="1" applyBorder="1"/>
    <xf numFmtId="0" fontId="4" fillId="6" borderId="6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 wrapText="1"/>
    </xf>
    <xf numFmtId="0" fontId="2" fillId="0" borderId="17" xfId="0" applyFont="1" applyBorder="1"/>
    <xf numFmtId="0" fontId="5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4" fillId="2" borderId="12" xfId="0" applyFont="1" applyFill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 wrapText="1"/>
    </xf>
    <xf numFmtId="0" fontId="4" fillId="0" borderId="21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 wrapText="1"/>
    </xf>
    <xf numFmtId="0" fontId="10" fillId="4" borderId="8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textRotation="90"/>
    </xf>
    <xf numFmtId="0" fontId="6" fillId="0" borderId="0" xfId="0" applyFont="1" applyAlignment="1">
      <alignment horizontal="center" vertical="top"/>
    </xf>
    <xf numFmtId="0" fontId="6" fillId="0" borderId="9" xfId="0" applyFont="1" applyBorder="1" applyAlignment="1">
      <alignment horizontal="center" vertical="top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textRotation="90"/>
    </xf>
    <xf numFmtId="0" fontId="1" fillId="2" borderId="1" xfId="0" applyFont="1" applyFill="1" applyBorder="1" applyAlignment="1">
      <alignment horizontal="center" vertical="center" textRotation="90"/>
    </xf>
    <xf numFmtId="0" fontId="15" fillId="0" borderId="0" xfId="0" applyFont="1" applyAlignment="1">
      <alignment horizontal="center" vertical="top"/>
    </xf>
    <xf numFmtId="0" fontId="15" fillId="0" borderId="9" xfId="0" applyFont="1" applyBorder="1" applyAlignment="1">
      <alignment horizontal="center" vertical="top"/>
    </xf>
  </cellXfs>
  <cellStyles count="1">
    <cellStyle name="Обычный" xfId="0" builtinId="0"/>
  </cellStyles>
  <dxfs count="282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952500</xdr:colOff>
          <xdr:row>0</xdr:row>
          <xdr:rowOff>57150</xdr:rowOff>
        </xdr:from>
        <xdr:to>
          <xdr:col>3</xdr:col>
          <xdr:colOff>704850</xdr:colOff>
          <xdr:row>2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MAGIC BUTTON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oname\Desktop\&#1053;&#1072;&#1074;&#1095;&#1072;&#1083;&#1100;&#1085;&#1080;&#1081;%20&#1087;&#1088;&#1086;&#1094;&#1077;&#1089;%2021-22\&#1042;&#1048;&#1050;&#1051;&#1040;&#1044;&#1040;&#1063;&#1030;%2021-22%20-%2024.09.202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списки"/>
      <sheetName val="Лист4"/>
      <sheetName val="Дисципліни"/>
      <sheetName val="Лист1"/>
      <sheetName val="Викладачи "/>
      <sheetName val="Лист2"/>
      <sheetName val="Лист5"/>
      <sheetName val="Лист3"/>
      <sheetName val="Лист6"/>
      <sheetName val="Лист7"/>
      <sheetName val="Лист9"/>
      <sheetName val="Лист10"/>
      <sheetName val="Лист11"/>
    </sheetNames>
    <sheetDataSet>
      <sheetData sheetId="0">
        <row r="4">
          <cell r="A4" t="str">
            <v>Андрєєва Олена Валеріївна 1</v>
          </cell>
        </row>
        <row r="5">
          <cell r="A5" t="str">
            <v>Дутчак Мирослав Васильович 0.5</v>
          </cell>
        </row>
        <row r="6">
          <cell r="A6" t="str">
            <v>Благій Олександра Леонідівна 1</v>
          </cell>
        </row>
        <row r="7">
          <cell r="A7" t="str">
            <v>Василенко Марина Миколаївна 1</v>
          </cell>
        </row>
        <row r="8">
          <cell r="A8" t="str">
            <v>Єракова Любов Анатоліївна 1</v>
          </cell>
        </row>
        <row r="9">
          <cell r="A9" t="str">
            <v>Довгич Олександр Олександрович 0.5</v>
          </cell>
        </row>
        <row r="10">
          <cell r="A10" t="str">
            <v>Козакова Клавдія Георгіївна 1</v>
          </cell>
        </row>
        <row r="11">
          <cell r="A11" t="str">
            <v>Омельченко Тетяна Григорівна 1</v>
          </cell>
        </row>
        <row r="13">
          <cell r="A13" t="str">
            <v>Кириченко Вікторія Миколаївна 1</v>
          </cell>
        </row>
        <row r="14">
          <cell r="A14" t="str">
            <v>Козакова Клавдія Георгіївна 0.25 вакансія</v>
          </cell>
        </row>
        <row r="15">
          <cell r="A15" t="str">
            <v>Стрижак Артем Олексійович 0.5 (звільнено)</v>
          </cell>
        </row>
        <row r="17">
          <cell r="A17" t="str">
            <v>Бабич Анна Олександрівна 0.5</v>
          </cell>
        </row>
        <row r="19">
          <cell r="A19" t="str">
            <v>Гоглювата Наталія Олегівна 0.75</v>
          </cell>
        </row>
        <row r="20">
          <cell r="A20" t="str">
            <v>Ковальова Наталія Володимирівна 1</v>
          </cell>
        </row>
        <row r="21">
          <cell r="A21" t="str">
            <v>Воробйова Анастасія Володимирівна 1</v>
          </cell>
        </row>
        <row r="22">
          <cell r="A22" t="str">
            <v>Хрипко Інна Василівна 1</v>
          </cell>
        </row>
        <row r="23">
          <cell r="A23" t="str">
            <v>Шиманский Генадій Мечеславович 0.5</v>
          </cell>
        </row>
        <row r="25">
          <cell r="A25" t="str">
            <v>Мартин Петро Михайлович 0.25</v>
          </cell>
        </row>
        <row r="30">
          <cell r="A30" t="str">
            <v>Горенко Зоя Анатоліївна 1</v>
          </cell>
        </row>
        <row r="32">
          <cell r="A32" t="str">
            <v>Благій Владислав Олександрович 0.5</v>
          </cell>
        </row>
        <row r="33">
          <cell r="A33" t="str">
            <v>Підгайна Віра Олексіївна 1</v>
          </cell>
        </row>
        <row r="34">
          <cell r="A34" t="str">
            <v>Дмитрів Роман Васильович 0,5</v>
          </cell>
        </row>
        <row r="35">
          <cell r="A35" t="str">
            <v>Пасічняк Любомир Васильович 0,25</v>
          </cell>
        </row>
        <row r="36">
          <cell r="A36" t="str">
            <v>Матвієнко Ірина Сергіївна 0,25</v>
          </cell>
        </row>
        <row r="37">
          <cell r="A37" t="str">
            <v>Юхимчук Віра Петрівна 0,25</v>
          </cell>
        </row>
        <row r="38">
          <cell r="A38" t="str">
            <v xml:space="preserve">Єракова Любов Анатоліївна 0.25 </v>
          </cell>
        </row>
        <row r="39">
          <cell r="A39" t="str">
            <v>Кунашенко Микола Анатолійович 1</v>
          </cell>
        </row>
        <row r="42">
          <cell r="A42" t="str">
            <v>Кенсицька Ірина Леонідівна 0.25</v>
          </cell>
        </row>
        <row r="43">
          <cell r="A43" t="str">
            <v>Сога Сергій Михайлович 0.5</v>
          </cell>
        </row>
        <row r="45">
          <cell r="A45" t="str">
            <v>Ужвенко Вікторія Анатоліївна 1</v>
          </cell>
        </row>
        <row r="46">
          <cell r="A46" t="str">
            <v>Єременко Наталія Петрівна 1</v>
          </cell>
        </row>
        <row r="48">
          <cell r="A48" t="str">
            <v>Благій Олександра Леонідівна 0,25 доц</v>
          </cell>
        </row>
        <row r="49">
          <cell r="A49" t="str">
            <v>Блистів Тарас Васильович 1</v>
          </cell>
        </row>
        <row r="50">
          <cell r="A50" t="str">
            <v>Благій О.Л. 0.25 вакан.</v>
          </cell>
        </row>
        <row r="52">
          <cell r="A52" t="str">
            <v>Ковальова Наталія Володимирівна 0,5</v>
          </cell>
        </row>
        <row r="53">
          <cell r="A53" t="str">
            <v>Єгорова Наталія Анатоліївна 1</v>
          </cell>
        </row>
        <row r="55">
          <cell r="A55" t="str">
            <v>Хрипко Інна Василівна 0.5</v>
          </cell>
        </row>
        <row r="56">
          <cell r="A56" t="str">
            <v>Омельченко Тетяна Григорівна 0.5</v>
          </cell>
        </row>
        <row r="58">
          <cell r="A58" t="str">
            <v>Михайлова Мар'яна Володимирівна 0.5</v>
          </cell>
        </row>
        <row r="59">
          <cell r="A59" t="str">
            <v>Євпак Наталія Александрівна 0,25</v>
          </cell>
        </row>
        <row r="60">
          <cell r="A60" t="str">
            <v>Божук Наталія Михайлівна 0,25</v>
          </cell>
        </row>
        <row r="61">
          <cell r="A61" t="str">
            <v>Баженков Євгеній Володимирович</v>
          </cell>
        </row>
        <row r="63">
          <cell r="A63" t="str">
            <v>Горпинчук Ганна Михайлівна 1</v>
          </cell>
        </row>
        <row r="65">
          <cell r="A65" t="str">
            <v>Бобренко Світлана Михайлівна 1</v>
          </cell>
        </row>
        <row r="67">
          <cell r="A67" t="str">
            <v>Левінська Ксенія  Ігорівна 0.5</v>
          </cell>
        </row>
        <row r="68">
          <cell r="A68" t="str">
            <v>Боженко-Курило Ольга Василівна 1</v>
          </cell>
        </row>
        <row r="69">
          <cell r="A69" t="str">
            <v>Пацалюк Костянтин Григорович 1</v>
          </cell>
        </row>
        <row r="70">
          <cell r="A70" t="str">
            <v>Галета Мирослав  Олегович 1</v>
          </cell>
        </row>
        <row r="71">
          <cell r="A71" t="str">
            <v>Юрченко Олександр Анатолійович 0.5</v>
          </cell>
        </row>
        <row r="72">
          <cell r="A72" t="str">
            <v>Чеверда Анастасія Олегівна 1</v>
          </cell>
        </row>
        <row r="73">
          <cell r="A73" t="str">
            <v>Гордін  Владислав Олегович 0.75</v>
          </cell>
        </row>
        <row r="74">
          <cell r="A74" t="str">
            <v>Єременко Наталія Петрівна 0.5</v>
          </cell>
        </row>
        <row r="75">
          <cell r="A75" t="str">
            <v>Паньків Христина Василівна, 0.25</v>
          </cell>
        </row>
        <row r="76">
          <cell r="A76" t="str">
            <v>Мамонтов Дмитро Дмитрович 0.5</v>
          </cell>
        </row>
        <row r="77">
          <cell r="A77" t="str">
            <v>Кадієва Маргарита Василівна 0.25</v>
          </cell>
        </row>
        <row r="78">
          <cell r="A78" t="str">
            <v>Кобалінова Олександра Ігорівна 0.5</v>
          </cell>
        </row>
        <row r="79">
          <cell r="A79" t="str">
            <v>Садовський Олексій Олександрович 0.5</v>
          </cell>
        </row>
        <row r="80">
          <cell r="A80" t="str">
            <v xml:space="preserve">Кулініч Тетяна Олександрівна 0.25 </v>
          </cell>
        </row>
        <row r="81">
          <cell r="A81" t="str">
            <v>Пріяткіна Наталія Володимирівна</v>
          </cell>
        </row>
        <row r="82">
          <cell r="A82" t="str">
            <v>Фальштинський Сергій Володимирович</v>
          </cell>
        </row>
        <row r="84">
          <cell r="A84" t="str">
            <v>Козакова Марина Сергіївна 0.5</v>
          </cell>
        </row>
        <row r="85">
          <cell r="A85" t="str">
            <v xml:space="preserve">Нагорна Анастасія Юріївна 0.5 </v>
          </cell>
        </row>
        <row r="86">
          <cell r="A86" t="str">
            <v>Примасюк Вікторія Сергіївна 1</v>
          </cell>
        </row>
        <row r="87">
          <cell r="A87" t="str">
            <v xml:space="preserve">Сухомлинов Рудольф Олегович 0.5 </v>
          </cell>
        </row>
        <row r="88">
          <cell r="A88" t="str">
            <v>Кокарєва Юлія Юріївна 1</v>
          </cell>
        </row>
        <row r="89">
          <cell r="A89" t="str">
            <v>Блецко Анастасія Олексіївна 0.5 (звільнена)</v>
          </cell>
        </row>
        <row r="90">
          <cell r="A90" t="str">
            <v>Безсмертна Лілія Романівна 0.5</v>
          </cell>
        </row>
        <row r="91">
          <cell r="A91" t="str">
            <v>Кокарєва Вакансія 0,5</v>
          </cell>
        </row>
        <row r="92">
          <cell r="A92" t="str">
            <v>Жовтенко Євгеній  Олександрович 1</v>
          </cell>
        </row>
        <row r="93">
          <cell r="A93" t="str">
            <v>Пальчук Марія Борисівна 0.5</v>
          </cell>
        </row>
        <row r="94">
          <cell r="A94" t="str">
            <v>Кириченко Вікторія Миколаївна 0.25</v>
          </cell>
        </row>
        <row r="95">
          <cell r="A95" t="str">
            <v>Блистів Тарас Васильович 0.5</v>
          </cell>
        </row>
        <row r="96">
          <cell r="A96" t="str">
            <v>Лопацький Сергій Васильович 0.25</v>
          </cell>
        </row>
        <row r="97">
          <cell r="A97" t="str">
            <v>Сімченко Андрій Володимирович 0,5</v>
          </cell>
        </row>
        <row r="98">
          <cell r="A98" t="str">
            <v xml:space="preserve">Даруга Аліна Русланівна 1.0 </v>
          </cell>
        </row>
        <row r="99">
          <cell r="A99" t="str">
            <v>Усенко Дарія Водимирівна 0.5</v>
          </cell>
        </row>
        <row r="100">
          <cell r="A100" t="str">
            <v>Шиманський вакансія</v>
          </cell>
        </row>
        <row r="101">
          <cell r="A101" t="str">
            <v>Чеверда Анастасія Олегівна 0.5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Y70"/>
  <sheetViews>
    <sheetView zoomScale="70" zoomScaleNormal="70" workbookViewId="0">
      <selection activeCell="C6" sqref="C6"/>
    </sheetView>
  </sheetViews>
  <sheetFormatPr defaultRowHeight="15" x14ac:dyDescent="0.25"/>
  <cols>
    <col min="1" max="1" width="21.7109375" customWidth="1"/>
    <col min="2" max="2" width="11.85546875" customWidth="1"/>
    <col min="3" max="3" width="27.28515625" customWidth="1"/>
    <col min="4" max="4" width="39.85546875" customWidth="1"/>
    <col min="5" max="5" width="47.28515625" customWidth="1"/>
    <col min="6" max="6" width="55.85546875" customWidth="1"/>
    <col min="7" max="7" width="48.140625" customWidth="1"/>
    <col min="8" max="8" width="46.140625" customWidth="1"/>
    <col min="9" max="9" width="51" customWidth="1"/>
    <col min="10" max="10" width="43.85546875" customWidth="1"/>
    <col min="11" max="11" width="44" customWidth="1"/>
    <col min="12" max="12" width="40.85546875" customWidth="1"/>
    <col min="13" max="13" width="37.5703125" customWidth="1"/>
    <col min="14" max="14" width="27.85546875" customWidth="1"/>
    <col min="15" max="15" width="28.85546875" customWidth="1"/>
    <col min="16" max="16" width="31.28515625" customWidth="1"/>
    <col min="17" max="17" width="28.42578125" customWidth="1"/>
    <col min="18" max="18" width="24.28515625" bestFit="1" customWidth="1"/>
    <col min="19" max="19" width="29.5703125" customWidth="1"/>
    <col min="20" max="25" width="29.5703125" style="44" customWidth="1"/>
  </cols>
  <sheetData>
    <row r="1" spans="1:25" ht="15" customHeight="1" x14ac:dyDescent="0.25">
      <c r="A1" s="189"/>
      <c r="B1" s="189"/>
      <c r="C1" s="189"/>
      <c r="D1" s="189"/>
      <c r="E1" s="189"/>
      <c r="F1" s="189"/>
      <c r="G1" s="189"/>
      <c r="H1" s="189"/>
      <c r="I1" s="189"/>
      <c r="J1" s="9"/>
      <c r="K1" s="9"/>
      <c r="L1" s="9"/>
      <c r="M1" s="9"/>
      <c r="N1" s="9"/>
      <c r="O1" s="9"/>
      <c r="P1" s="9"/>
      <c r="Q1" s="9"/>
      <c r="R1" s="9"/>
    </row>
    <row r="2" spans="1:25" x14ac:dyDescent="0.25">
      <c r="A2" s="189"/>
      <c r="B2" s="189"/>
      <c r="C2" s="189"/>
      <c r="D2" s="189"/>
      <c r="E2" s="189"/>
      <c r="F2" s="189"/>
      <c r="G2" s="189"/>
      <c r="H2" s="189"/>
      <c r="I2" s="189"/>
      <c r="J2" s="9"/>
      <c r="K2" s="9"/>
      <c r="L2" s="9"/>
      <c r="M2" s="9"/>
      <c r="N2" s="9"/>
      <c r="O2" s="9"/>
      <c r="P2" s="9"/>
      <c r="Q2" s="9"/>
      <c r="R2" s="9"/>
    </row>
    <row r="3" spans="1:25" ht="15.75" thickBot="1" x14ac:dyDescent="0.3">
      <c r="A3" s="190"/>
      <c r="B3" s="190"/>
      <c r="C3" s="190"/>
      <c r="D3" s="190"/>
      <c r="E3" s="190"/>
      <c r="F3" s="190"/>
      <c r="G3" s="190"/>
      <c r="H3" s="190"/>
      <c r="I3" s="190"/>
      <c r="J3" s="9"/>
      <c r="K3" s="9"/>
      <c r="L3" s="9"/>
      <c r="M3" s="9"/>
      <c r="N3" s="9"/>
      <c r="O3" s="9"/>
      <c r="P3" s="9"/>
      <c r="Q3" s="9"/>
      <c r="R3" s="9"/>
    </row>
    <row r="4" spans="1:25" ht="22.5" thickTop="1" thickBot="1" x14ac:dyDescent="0.3">
      <c r="A4" s="191" t="s">
        <v>13</v>
      </c>
      <c r="B4" s="192"/>
      <c r="C4" s="1">
        <v>1</v>
      </c>
      <c r="D4" s="1">
        <v>2</v>
      </c>
      <c r="E4" s="1">
        <v>3</v>
      </c>
      <c r="F4" s="1">
        <v>4</v>
      </c>
      <c r="G4" s="1">
        <v>5</v>
      </c>
      <c r="H4" s="1">
        <v>6</v>
      </c>
      <c r="I4" s="1">
        <v>7</v>
      </c>
      <c r="J4" s="1">
        <v>8</v>
      </c>
      <c r="K4" s="1">
        <v>9</v>
      </c>
      <c r="L4" s="1">
        <v>10</v>
      </c>
      <c r="M4" s="1">
        <v>11</v>
      </c>
      <c r="N4" s="1">
        <v>12</v>
      </c>
      <c r="O4" s="1">
        <v>13</v>
      </c>
      <c r="P4" s="1">
        <v>14</v>
      </c>
      <c r="Q4" s="1">
        <v>15</v>
      </c>
      <c r="R4" s="1">
        <v>16</v>
      </c>
      <c r="S4" s="1">
        <v>17</v>
      </c>
      <c r="T4" s="45">
        <v>18</v>
      </c>
      <c r="U4" s="45">
        <v>19</v>
      </c>
      <c r="V4" s="45">
        <v>20</v>
      </c>
      <c r="W4" s="45">
        <v>21</v>
      </c>
      <c r="X4" s="45">
        <v>22</v>
      </c>
      <c r="Y4" s="45">
        <v>23</v>
      </c>
    </row>
    <row r="5" spans="1:25" ht="21.75" thickTop="1" thickBot="1" x14ac:dyDescent="0.35">
      <c r="A5" s="2" t="s">
        <v>0</v>
      </c>
      <c r="B5" s="3" t="s">
        <v>1</v>
      </c>
      <c r="C5" s="132" t="e">
        <f>_xlfn.CONCAT(TEXT(C7,"DD/MM/YY")," - ",TEXT(C41,"DD/MM/YY"))</f>
        <v>#VALUE!</v>
      </c>
      <c r="D5" s="132" t="e">
        <f>_xlfn.CONCAT(TEXT(D7,"DD/MM/YY")," - ",TEXT(D41,"DD/MM/YY"))</f>
        <v>#VALUE!</v>
      </c>
      <c r="E5" s="132" t="e">
        <f>_xlfn.CONCAT(TEXT(E7,"DD/MM/YY")," - ",TEXT(E41,"DD/MM/YY"))</f>
        <v>#VALUE!</v>
      </c>
      <c r="F5" s="132" t="e">
        <f t="shared" ref="F5:Y5" si="0">_xlfn.CONCAT(TEXT(F7,"DD/MM/YY")," - ",TEXT(F41,"DD/MM/YY"))</f>
        <v>#VALUE!</v>
      </c>
      <c r="G5" s="132" t="e">
        <f t="shared" si="0"/>
        <v>#VALUE!</v>
      </c>
      <c r="H5" s="132" t="e">
        <f t="shared" si="0"/>
        <v>#VALUE!</v>
      </c>
      <c r="I5" s="132" t="e">
        <f t="shared" si="0"/>
        <v>#VALUE!</v>
      </c>
      <c r="J5" s="132" t="e">
        <f t="shared" si="0"/>
        <v>#VALUE!</v>
      </c>
      <c r="K5" s="132" t="e">
        <f t="shared" si="0"/>
        <v>#VALUE!</v>
      </c>
      <c r="L5" s="132" t="e">
        <f t="shared" si="0"/>
        <v>#VALUE!</v>
      </c>
      <c r="M5" s="132" t="e">
        <f t="shared" si="0"/>
        <v>#VALUE!</v>
      </c>
      <c r="N5" s="132" t="e">
        <f t="shared" si="0"/>
        <v>#VALUE!</v>
      </c>
      <c r="O5" s="132" t="e">
        <f t="shared" si="0"/>
        <v>#VALUE!</v>
      </c>
      <c r="P5" s="132" t="e">
        <f t="shared" si="0"/>
        <v>#VALUE!</v>
      </c>
      <c r="Q5" s="132" t="e">
        <f t="shared" si="0"/>
        <v>#VALUE!</v>
      </c>
      <c r="R5" s="132" t="e">
        <f t="shared" si="0"/>
        <v>#VALUE!</v>
      </c>
      <c r="S5" s="132" t="e">
        <f t="shared" si="0"/>
        <v>#VALUE!</v>
      </c>
      <c r="T5" s="132" t="e">
        <f t="shared" si="0"/>
        <v>#VALUE!</v>
      </c>
      <c r="U5" s="132" t="e">
        <f t="shared" si="0"/>
        <v>#VALUE!</v>
      </c>
      <c r="V5" s="132" t="e">
        <f t="shared" si="0"/>
        <v>#VALUE!</v>
      </c>
      <c r="W5" s="132" t="e">
        <f t="shared" si="0"/>
        <v>#VALUE!</v>
      </c>
      <c r="X5" s="132" t="e">
        <f t="shared" si="0"/>
        <v>#VALUE!</v>
      </c>
      <c r="Y5" s="132" t="e">
        <f t="shared" si="0"/>
        <v>#VALUE!</v>
      </c>
    </row>
    <row r="6" spans="1:25" s="8" customFormat="1" ht="16.5" customHeight="1" thickTop="1" thickBot="1" x14ac:dyDescent="0.3">
      <c r="A6" s="193" t="s">
        <v>2</v>
      </c>
      <c r="B6" s="5" t="s">
        <v>10</v>
      </c>
      <c r="C6" s="18">
        <v>45901</v>
      </c>
      <c r="D6" s="32">
        <f>AddOneWeekToDateTime(C6)</f>
        <v>45908</v>
      </c>
      <c r="E6" s="32">
        <f t="shared" ref="E6:X21" si="1">AddOneWeekToDateTime(D6)</f>
        <v>45915</v>
      </c>
      <c r="F6" s="32">
        <f t="shared" si="1"/>
        <v>45922</v>
      </c>
      <c r="G6" s="32">
        <f t="shared" si="1"/>
        <v>45929</v>
      </c>
      <c r="H6" s="32">
        <f t="shared" si="1"/>
        <v>45936</v>
      </c>
      <c r="I6" s="32">
        <f t="shared" si="1"/>
        <v>45943</v>
      </c>
      <c r="J6" s="32">
        <f t="shared" si="1"/>
        <v>45950</v>
      </c>
      <c r="K6" s="32">
        <f t="shared" si="1"/>
        <v>45957</v>
      </c>
      <c r="L6" s="32">
        <f t="shared" si="1"/>
        <v>45964</v>
      </c>
      <c r="M6" s="32">
        <f t="shared" si="1"/>
        <v>45971</v>
      </c>
      <c r="N6" s="32">
        <f t="shared" si="1"/>
        <v>45978</v>
      </c>
      <c r="O6" s="32">
        <f t="shared" si="1"/>
        <v>45985</v>
      </c>
      <c r="P6" s="32">
        <f t="shared" si="1"/>
        <v>45992</v>
      </c>
      <c r="Q6" s="32">
        <f t="shared" si="1"/>
        <v>45999</v>
      </c>
      <c r="R6" s="32">
        <f t="shared" si="1"/>
        <v>46006</v>
      </c>
      <c r="S6" s="32">
        <f t="shared" si="1"/>
        <v>46013</v>
      </c>
      <c r="T6" s="46">
        <f t="shared" si="1"/>
        <v>46020</v>
      </c>
      <c r="U6" s="46">
        <f t="shared" si="1"/>
        <v>46027</v>
      </c>
      <c r="V6" s="46">
        <f t="shared" si="1"/>
        <v>46034</v>
      </c>
      <c r="W6" s="46">
        <f t="shared" si="1"/>
        <v>46041</v>
      </c>
      <c r="X6" s="46">
        <f t="shared" si="1"/>
        <v>46048</v>
      </c>
      <c r="Y6" s="46"/>
    </row>
    <row r="7" spans="1:25" s="8" customFormat="1" ht="16.5" customHeight="1" thickTop="1" thickBot="1" x14ac:dyDescent="0.3">
      <c r="A7" s="193"/>
      <c r="B7" s="6" t="s">
        <v>11</v>
      </c>
      <c r="C7" s="19">
        <f>C6</f>
        <v>45901</v>
      </c>
      <c r="D7" s="29">
        <f t="shared" ref="D7:S41" si="2">AddOneWeekToDateTime(C7)</f>
        <v>45908</v>
      </c>
      <c r="E7" s="29">
        <f t="shared" si="2"/>
        <v>45915</v>
      </c>
      <c r="F7" s="29">
        <f t="shared" si="2"/>
        <v>45922</v>
      </c>
      <c r="G7" s="29">
        <f t="shared" si="2"/>
        <v>45929</v>
      </c>
      <c r="H7" s="29">
        <f t="shared" si="2"/>
        <v>45936</v>
      </c>
      <c r="I7" s="29">
        <f t="shared" si="2"/>
        <v>45943</v>
      </c>
      <c r="J7" s="29">
        <f t="shared" si="2"/>
        <v>45950</v>
      </c>
      <c r="K7" s="29">
        <f t="shared" si="2"/>
        <v>45957</v>
      </c>
      <c r="L7" s="29">
        <f t="shared" si="2"/>
        <v>45964</v>
      </c>
      <c r="M7" s="29">
        <f t="shared" si="2"/>
        <v>45971</v>
      </c>
      <c r="N7" s="29">
        <f t="shared" si="2"/>
        <v>45978</v>
      </c>
      <c r="O7" s="29">
        <f t="shared" si="2"/>
        <v>45985</v>
      </c>
      <c r="P7" s="29">
        <f t="shared" si="2"/>
        <v>45992</v>
      </c>
      <c r="Q7" s="29">
        <f t="shared" si="2"/>
        <v>45999</v>
      </c>
      <c r="R7" s="29">
        <f t="shared" si="2"/>
        <v>46006</v>
      </c>
      <c r="S7" s="29">
        <f t="shared" si="2"/>
        <v>46013</v>
      </c>
      <c r="T7" s="47">
        <f t="shared" si="1"/>
        <v>46020</v>
      </c>
      <c r="U7" s="47">
        <f t="shared" si="1"/>
        <v>46027</v>
      </c>
      <c r="V7" s="47">
        <f t="shared" si="1"/>
        <v>46034</v>
      </c>
      <c r="W7" s="47">
        <f t="shared" si="1"/>
        <v>46041</v>
      </c>
      <c r="X7" s="47">
        <f t="shared" si="1"/>
        <v>46048</v>
      </c>
      <c r="Y7" s="48"/>
    </row>
    <row r="8" spans="1:25" s="8" customFormat="1" ht="16.5" customHeight="1" thickTop="1" thickBot="1" x14ac:dyDescent="0.3">
      <c r="A8" s="193"/>
      <c r="B8" s="6" t="s">
        <v>12</v>
      </c>
      <c r="C8" s="19">
        <f>C6</f>
        <v>45901</v>
      </c>
      <c r="D8" s="30">
        <f t="shared" si="2"/>
        <v>45908</v>
      </c>
      <c r="E8" s="30">
        <f t="shared" si="1"/>
        <v>45915</v>
      </c>
      <c r="F8" s="30">
        <f t="shared" si="1"/>
        <v>45922</v>
      </c>
      <c r="G8" s="30">
        <f t="shared" si="1"/>
        <v>45929</v>
      </c>
      <c r="H8" s="30">
        <f t="shared" si="1"/>
        <v>45936</v>
      </c>
      <c r="I8" s="30">
        <f t="shared" si="1"/>
        <v>45943</v>
      </c>
      <c r="J8" s="30">
        <f t="shared" si="1"/>
        <v>45950</v>
      </c>
      <c r="K8" s="30">
        <f t="shared" si="1"/>
        <v>45957</v>
      </c>
      <c r="L8" s="30">
        <f t="shared" si="1"/>
        <v>45964</v>
      </c>
      <c r="M8" s="30">
        <f t="shared" si="1"/>
        <v>45971</v>
      </c>
      <c r="N8" s="30">
        <f t="shared" si="1"/>
        <v>45978</v>
      </c>
      <c r="O8" s="30">
        <f t="shared" si="1"/>
        <v>45985</v>
      </c>
      <c r="P8" s="30">
        <f t="shared" si="1"/>
        <v>45992</v>
      </c>
      <c r="Q8" s="30">
        <f t="shared" si="1"/>
        <v>45999</v>
      </c>
      <c r="R8" s="30">
        <f t="shared" si="1"/>
        <v>46006</v>
      </c>
      <c r="S8" s="30">
        <f t="shared" si="1"/>
        <v>46013</v>
      </c>
      <c r="T8" s="49">
        <f t="shared" si="1"/>
        <v>46020</v>
      </c>
      <c r="U8" s="49">
        <f t="shared" si="1"/>
        <v>46027</v>
      </c>
      <c r="V8" s="49">
        <f t="shared" si="1"/>
        <v>46034</v>
      </c>
      <c r="W8" s="49">
        <f t="shared" si="1"/>
        <v>46041</v>
      </c>
      <c r="X8" s="49">
        <f t="shared" si="1"/>
        <v>46048</v>
      </c>
      <c r="Y8" s="48"/>
    </row>
    <row r="9" spans="1:25" s="8" customFormat="1" ht="16.5" customHeight="1" thickTop="1" thickBot="1" x14ac:dyDescent="0.3">
      <c r="A9" s="193"/>
      <c r="B9" s="6" t="s">
        <v>7</v>
      </c>
      <c r="C9" s="19">
        <f>C6</f>
        <v>45901</v>
      </c>
      <c r="D9" s="30">
        <f t="shared" si="2"/>
        <v>45908</v>
      </c>
      <c r="E9" s="30">
        <f t="shared" si="1"/>
        <v>45915</v>
      </c>
      <c r="F9" s="30">
        <f t="shared" si="1"/>
        <v>45922</v>
      </c>
      <c r="G9" s="30">
        <f t="shared" si="1"/>
        <v>45929</v>
      </c>
      <c r="H9" s="30">
        <f t="shared" si="1"/>
        <v>45936</v>
      </c>
      <c r="I9" s="30">
        <f t="shared" si="1"/>
        <v>45943</v>
      </c>
      <c r="J9" s="30">
        <f t="shared" si="1"/>
        <v>45950</v>
      </c>
      <c r="K9" s="30">
        <f t="shared" si="1"/>
        <v>45957</v>
      </c>
      <c r="L9" s="30">
        <f t="shared" si="1"/>
        <v>45964</v>
      </c>
      <c r="M9" s="30">
        <f t="shared" si="1"/>
        <v>45971</v>
      </c>
      <c r="N9" s="30">
        <f t="shared" si="1"/>
        <v>45978</v>
      </c>
      <c r="O9" s="30">
        <f t="shared" si="1"/>
        <v>45985</v>
      </c>
      <c r="P9" s="30">
        <f t="shared" si="1"/>
        <v>45992</v>
      </c>
      <c r="Q9" s="30">
        <f t="shared" si="1"/>
        <v>45999</v>
      </c>
      <c r="R9" s="30">
        <f t="shared" si="1"/>
        <v>46006</v>
      </c>
      <c r="S9" s="30">
        <f t="shared" si="1"/>
        <v>46013</v>
      </c>
      <c r="T9" s="49">
        <f t="shared" si="1"/>
        <v>46020</v>
      </c>
      <c r="U9" s="49">
        <f t="shared" si="1"/>
        <v>46027</v>
      </c>
      <c r="V9" s="49">
        <f t="shared" si="1"/>
        <v>46034</v>
      </c>
      <c r="W9" s="49">
        <f t="shared" si="1"/>
        <v>46041</v>
      </c>
      <c r="X9" s="49">
        <f t="shared" si="1"/>
        <v>46048</v>
      </c>
      <c r="Y9" s="48"/>
    </row>
    <row r="10" spans="1:25" s="8" customFormat="1" ht="16.5" customHeight="1" thickTop="1" thickBot="1" x14ac:dyDescent="0.3">
      <c r="A10" s="193"/>
      <c r="B10" s="6" t="s">
        <v>8</v>
      </c>
      <c r="C10" s="19">
        <f>C6</f>
        <v>45901</v>
      </c>
      <c r="D10" s="30">
        <f t="shared" si="2"/>
        <v>45908</v>
      </c>
      <c r="E10" s="30">
        <f t="shared" si="1"/>
        <v>45915</v>
      </c>
      <c r="F10" s="30">
        <f t="shared" si="1"/>
        <v>45922</v>
      </c>
      <c r="G10" s="30">
        <f t="shared" si="1"/>
        <v>45929</v>
      </c>
      <c r="H10" s="30">
        <f t="shared" si="1"/>
        <v>45936</v>
      </c>
      <c r="I10" s="30">
        <f t="shared" si="1"/>
        <v>45943</v>
      </c>
      <c r="J10" s="30">
        <f t="shared" si="1"/>
        <v>45950</v>
      </c>
      <c r="K10" s="30">
        <f t="shared" si="1"/>
        <v>45957</v>
      </c>
      <c r="L10" s="30">
        <f t="shared" si="1"/>
        <v>45964</v>
      </c>
      <c r="M10" s="30">
        <f t="shared" si="1"/>
        <v>45971</v>
      </c>
      <c r="N10" s="30">
        <f t="shared" si="1"/>
        <v>45978</v>
      </c>
      <c r="O10" s="30">
        <f t="shared" si="1"/>
        <v>45985</v>
      </c>
      <c r="P10" s="30">
        <f t="shared" si="1"/>
        <v>45992</v>
      </c>
      <c r="Q10" s="30">
        <f t="shared" si="1"/>
        <v>45999</v>
      </c>
      <c r="R10" s="30">
        <f t="shared" si="1"/>
        <v>46006</v>
      </c>
      <c r="S10" s="30">
        <f t="shared" si="1"/>
        <v>46013</v>
      </c>
      <c r="T10" s="49">
        <f t="shared" si="1"/>
        <v>46020</v>
      </c>
      <c r="U10" s="49">
        <f t="shared" si="1"/>
        <v>46027</v>
      </c>
      <c r="V10" s="49">
        <f t="shared" si="1"/>
        <v>46034</v>
      </c>
      <c r="W10" s="49">
        <f t="shared" si="1"/>
        <v>46041</v>
      </c>
      <c r="X10" s="49">
        <f t="shared" si="1"/>
        <v>46048</v>
      </c>
      <c r="Y10" s="48"/>
    </row>
    <row r="11" spans="1:25" s="8" customFormat="1" ht="16.5" customHeight="1" thickTop="1" thickBot="1" x14ac:dyDescent="0.3">
      <c r="A11" s="193"/>
      <c r="B11" s="59" t="s">
        <v>9</v>
      </c>
      <c r="C11" s="60">
        <f>C6</f>
        <v>45901</v>
      </c>
      <c r="D11" s="30">
        <f t="shared" ref="D11:X11" si="3">AddOneWeekToDateTime(C11)</f>
        <v>45908</v>
      </c>
      <c r="E11" s="30">
        <f t="shared" si="3"/>
        <v>45915</v>
      </c>
      <c r="F11" s="30">
        <f t="shared" si="3"/>
        <v>45922</v>
      </c>
      <c r="G11" s="30">
        <f t="shared" si="3"/>
        <v>45929</v>
      </c>
      <c r="H11" s="30">
        <f t="shared" si="3"/>
        <v>45936</v>
      </c>
      <c r="I11" s="30">
        <f t="shared" si="3"/>
        <v>45943</v>
      </c>
      <c r="J11" s="30">
        <f t="shared" si="3"/>
        <v>45950</v>
      </c>
      <c r="K11" s="30">
        <f t="shared" si="3"/>
        <v>45957</v>
      </c>
      <c r="L11" s="30">
        <f t="shared" si="3"/>
        <v>45964</v>
      </c>
      <c r="M11" s="30">
        <f t="shared" si="3"/>
        <v>45971</v>
      </c>
      <c r="N11" s="30">
        <f t="shared" si="3"/>
        <v>45978</v>
      </c>
      <c r="O11" s="30">
        <f t="shared" si="3"/>
        <v>45985</v>
      </c>
      <c r="P11" s="30">
        <f t="shared" si="3"/>
        <v>45992</v>
      </c>
      <c r="Q11" s="30">
        <f t="shared" si="3"/>
        <v>45999</v>
      </c>
      <c r="R11" s="30">
        <f t="shared" si="3"/>
        <v>46006</v>
      </c>
      <c r="S11" s="30">
        <f t="shared" si="3"/>
        <v>46013</v>
      </c>
      <c r="T11" s="49">
        <f t="shared" si="3"/>
        <v>46020</v>
      </c>
      <c r="U11" s="49">
        <f t="shared" si="3"/>
        <v>46027</v>
      </c>
      <c r="V11" s="49">
        <f t="shared" si="3"/>
        <v>46034</v>
      </c>
      <c r="W11" s="49">
        <f t="shared" si="3"/>
        <v>46041</v>
      </c>
      <c r="X11" s="49">
        <f t="shared" si="3"/>
        <v>46048</v>
      </c>
      <c r="Y11" s="63"/>
    </row>
    <row r="12" spans="1:25" s="8" customFormat="1" ht="16.5" customHeight="1" thickTop="1" thickBot="1" x14ac:dyDescent="0.3">
      <c r="A12" s="193"/>
      <c r="B12" s="7" t="s">
        <v>14</v>
      </c>
      <c r="C12" s="20">
        <f>C6</f>
        <v>45901</v>
      </c>
      <c r="D12" s="33">
        <f t="shared" si="2"/>
        <v>45908</v>
      </c>
      <c r="E12" s="33">
        <f t="shared" si="1"/>
        <v>45915</v>
      </c>
      <c r="F12" s="33">
        <f t="shared" si="1"/>
        <v>45922</v>
      </c>
      <c r="G12" s="33">
        <f t="shared" si="1"/>
        <v>45929</v>
      </c>
      <c r="H12" s="33">
        <f t="shared" si="1"/>
        <v>45936</v>
      </c>
      <c r="I12" s="33">
        <f t="shared" si="1"/>
        <v>45943</v>
      </c>
      <c r="J12" s="33">
        <f t="shared" si="1"/>
        <v>45950</v>
      </c>
      <c r="K12" s="33">
        <f t="shared" si="1"/>
        <v>45957</v>
      </c>
      <c r="L12" s="33">
        <f t="shared" si="1"/>
        <v>45964</v>
      </c>
      <c r="M12" s="33">
        <f t="shared" si="1"/>
        <v>45971</v>
      </c>
      <c r="N12" s="33">
        <f t="shared" si="1"/>
        <v>45978</v>
      </c>
      <c r="O12" s="33">
        <f t="shared" si="1"/>
        <v>45985</v>
      </c>
      <c r="P12" s="33">
        <f t="shared" si="1"/>
        <v>45992</v>
      </c>
      <c r="Q12" s="33">
        <f t="shared" si="1"/>
        <v>45999</v>
      </c>
      <c r="R12" s="33">
        <f t="shared" si="1"/>
        <v>46006</v>
      </c>
      <c r="S12" s="33">
        <f t="shared" si="1"/>
        <v>46013</v>
      </c>
      <c r="T12" s="50">
        <f t="shared" si="1"/>
        <v>46020</v>
      </c>
      <c r="U12" s="50">
        <f t="shared" si="1"/>
        <v>46027</v>
      </c>
      <c r="V12" s="50">
        <f t="shared" si="1"/>
        <v>46034</v>
      </c>
      <c r="W12" s="50">
        <f t="shared" si="1"/>
        <v>46041</v>
      </c>
      <c r="X12" s="50">
        <f t="shared" si="1"/>
        <v>46048</v>
      </c>
      <c r="Y12" s="51"/>
    </row>
    <row r="13" spans="1:25" s="11" customFormat="1" ht="16.5" customHeight="1" thickTop="1" thickBot="1" x14ac:dyDescent="0.3">
      <c r="A13" s="194" t="s">
        <v>3</v>
      </c>
      <c r="B13" s="10" t="s">
        <v>10</v>
      </c>
      <c r="C13" s="21">
        <f t="shared" ref="C13:C24" si="4">AddOneDayToDateTime(C6)</f>
        <v>45902</v>
      </c>
      <c r="D13" s="34">
        <f t="shared" si="2"/>
        <v>45909</v>
      </c>
      <c r="E13" s="34">
        <f t="shared" si="1"/>
        <v>45916</v>
      </c>
      <c r="F13" s="34">
        <f t="shared" si="1"/>
        <v>45923</v>
      </c>
      <c r="G13" s="34">
        <f t="shared" si="1"/>
        <v>45930</v>
      </c>
      <c r="H13" s="34">
        <f t="shared" si="1"/>
        <v>45937</v>
      </c>
      <c r="I13" s="34">
        <f t="shared" si="1"/>
        <v>45944</v>
      </c>
      <c r="J13" s="34">
        <f t="shared" si="1"/>
        <v>45951</v>
      </c>
      <c r="K13" s="34">
        <f t="shared" si="1"/>
        <v>45958</v>
      </c>
      <c r="L13" s="34">
        <f t="shared" si="1"/>
        <v>45965</v>
      </c>
      <c r="M13" s="34">
        <f t="shared" si="1"/>
        <v>45972</v>
      </c>
      <c r="N13" s="34">
        <f t="shared" si="1"/>
        <v>45979</v>
      </c>
      <c r="O13" s="34">
        <f t="shared" si="1"/>
        <v>45986</v>
      </c>
      <c r="P13" s="34">
        <f t="shared" si="1"/>
        <v>45993</v>
      </c>
      <c r="Q13" s="34">
        <f t="shared" si="1"/>
        <v>46000</v>
      </c>
      <c r="R13" s="34">
        <f t="shared" si="1"/>
        <v>46007</v>
      </c>
      <c r="S13" s="34">
        <f t="shared" si="1"/>
        <v>46014</v>
      </c>
      <c r="T13" s="52">
        <f t="shared" si="1"/>
        <v>46021</v>
      </c>
      <c r="U13" s="52">
        <f t="shared" si="1"/>
        <v>46028</v>
      </c>
      <c r="V13" s="52">
        <f t="shared" si="1"/>
        <v>46035</v>
      </c>
      <c r="W13" s="52">
        <f t="shared" si="1"/>
        <v>46042</v>
      </c>
      <c r="X13" s="52">
        <f t="shared" si="1"/>
        <v>46049</v>
      </c>
      <c r="Y13" s="53"/>
    </row>
    <row r="14" spans="1:25" s="11" customFormat="1" ht="16.5" customHeight="1" thickTop="1" thickBot="1" x14ac:dyDescent="0.3">
      <c r="A14" s="194"/>
      <c r="B14" s="12" t="s">
        <v>11</v>
      </c>
      <c r="C14" s="22">
        <f t="shared" si="4"/>
        <v>45902</v>
      </c>
      <c r="D14" s="35">
        <f t="shared" si="2"/>
        <v>45909</v>
      </c>
      <c r="E14" s="35">
        <f t="shared" si="1"/>
        <v>45916</v>
      </c>
      <c r="F14" s="35">
        <f t="shared" si="1"/>
        <v>45923</v>
      </c>
      <c r="G14" s="35">
        <f t="shared" si="1"/>
        <v>45930</v>
      </c>
      <c r="H14" s="35">
        <f t="shared" si="1"/>
        <v>45937</v>
      </c>
      <c r="I14" s="35">
        <f t="shared" si="1"/>
        <v>45944</v>
      </c>
      <c r="J14" s="35">
        <f t="shared" si="1"/>
        <v>45951</v>
      </c>
      <c r="K14" s="35">
        <f t="shared" si="1"/>
        <v>45958</v>
      </c>
      <c r="L14" s="35">
        <f t="shared" si="1"/>
        <v>45965</v>
      </c>
      <c r="M14" s="35">
        <f t="shared" si="1"/>
        <v>45972</v>
      </c>
      <c r="N14" s="35">
        <f t="shared" si="1"/>
        <v>45979</v>
      </c>
      <c r="O14" s="35">
        <f t="shared" si="1"/>
        <v>45986</v>
      </c>
      <c r="P14" s="35">
        <f t="shared" si="1"/>
        <v>45993</v>
      </c>
      <c r="Q14" s="35">
        <f t="shared" si="1"/>
        <v>46000</v>
      </c>
      <c r="R14" s="35">
        <f t="shared" si="1"/>
        <v>46007</v>
      </c>
      <c r="S14" s="35">
        <f t="shared" si="1"/>
        <v>46014</v>
      </c>
      <c r="T14" s="54">
        <f t="shared" si="1"/>
        <v>46021</v>
      </c>
      <c r="U14" s="54">
        <f t="shared" si="1"/>
        <v>46028</v>
      </c>
      <c r="V14" s="54">
        <f t="shared" si="1"/>
        <v>46035</v>
      </c>
      <c r="W14" s="54">
        <f t="shared" si="1"/>
        <v>46042</v>
      </c>
      <c r="X14" s="54">
        <f t="shared" si="1"/>
        <v>46049</v>
      </c>
      <c r="Y14" s="48"/>
    </row>
    <row r="15" spans="1:25" s="11" customFormat="1" ht="16.5" customHeight="1" thickTop="1" thickBot="1" x14ac:dyDescent="0.3">
      <c r="A15" s="194"/>
      <c r="B15" s="12" t="s">
        <v>12</v>
      </c>
      <c r="C15" s="23">
        <f t="shared" si="4"/>
        <v>45902</v>
      </c>
      <c r="D15" s="27">
        <f t="shared" si="2"/>
        <v>45909</v>
      </c>
      <c r="E15" s="27">
        <f t="shared" si="1"/>
        <v>45916</v>
      </c>
      <c r="F15" s="27">
        <f t="shared" si="1"/>
        <v>45923</v>
      </c>
      <c r="G15" s="27">
        <f t="shared" si="1"/>
        <v>45930</v>
      </c>
      <c r="H15" s="27">
        <f t="shared" si="1"/>
        <v>45937</v>
      </c>
      <c r="I15" s="27">
        <f t="shared" si="1"/>
        <v>45944</v>
      </c>
      <c r="J15" s="27">
        <f t="shared" si="1"/>
        <v>45951</v>
      </c>
      <c r="K15" s="27">
        <f t="shared" si="1"/>
        <v>45958</v>
      </c>
      <c r="L15" s="27">
        <f t="shared" si="1"/>
        <v>45965</v>
      </c>
      <c r="M15" s="27">
        <f t="shared" si="1"/>
        <v>45972</v>
      </c>
      <c r="N15" s="27">
        <f t="shared" si="1"/>
        <v>45979</v>
      </c>
      <c r="O15" s="27">
        <f t="shared" si="1"/>
        <v>45986</v>
      </c>
      <c r="P15" s="27">
        <f t="shared" si="1"/>
        <v>45993</v>
      </c>
      <c r="Q15" s="27">
        <f t="shared" si="1"/>
        <v>46000</v>
      </c>
      <c r="R15" s="27">
        <f t="shared" si="1"/>
        <v>46007</v>
      </c>
      <c r="S15" s="27">
        <f t="shared" si="1"/>
        <v>46014</v>
      </c>
      <c r="T15" s="49">
        <f t="shared" si="1"/>
        <v>46021</v>
      </c>
      <c r="U15" s="49">
        <f t="shared" si="1"/>
        <v>46028</v>
      </c>
      <c r="V15" s="49">
        <f t="shared" si="1"/>
        <v>46035</v>
      </c>
      <c r="W15" s="49">
        <f t="shared" si="1"/>
        <v>46042</v>
      </c>
      <c r="X15" s="49">
        <f t="shared" si="1"/>
        <v>46049</v>
      </c>
      <c r="Y15" s="48"/>
    </row>
    <row r="16" spans="1:25" s="11" customFormat="1" ht="16.5" customHeight="1" thickTop="1" thickBot="1" x14ac:dyDescent="0.3">
      <c r="A16" s="194"/>
      <c r="B16" s="12" t="s">
        <v>7</v>
      </c>
      <c r="C16" s="22">
        <f t="shared" si="4"/>
        <v>45902</v>
      </c>
      <c r="D16" s="35">
        <f t="shared" si="2"/>
        <v>45909</v>
      </c>
      <c r="E16" s="35">
        <f t="shared" si="1"/>
        <v>45916</v>
      </c>
      <c r="F16" s="35">
        <f t="shared" si="1"/>
        <v>45923</v>
      </c>
      <c r="G16" s="35">
        <f t="shared" si="1"/>
        <v>45930</v>
      </c>
      <c r="H16" s="35">
        <f t="shared" si="1"/>
        <v>45937</v>
      </c>
      <c r="I16" s="35">
        <f t="shared" si="1"/>
        <v>45944</v>
      </c>
      <c r="J16" s="35">
        <f t="shared" si="1"/>
        <v>45951</v>
      </c>
      <c r="K16" s="35">
        <f t="shared" si="1"/>
        <v>45958</v>
      </c>
      <c r="L16" s="35">
        <f t="shared" si="1"/>
        <v>45965</v>
      </c>
      <c r="M16" s="35">
        <f t="shared" si="1"/>
        <v>45972</v>
      </c>
      <c r="N16" s="35">
        <f t="shared" si="1"/>
        <v>45979</v>
      </c>
      <c r="O16" s="35">
        <f t="shared" si="1"/>
        <v>45986</v>
      </c>
      <c r="P16" s="35">
        <f t="shared" si="1"/>
        <v>45993</v>
      </c>
      <c r="Q16" s="35">
        <f t="shared" si="1"/>
        <v>46000</v>
      </c>
      <c r="R16" s="35">
        <f t="shared" si="1"/>
        <v>46007</v>
      </c>
      <c r="S16" s="35">
        <f t="shared" si="1"/>
        <v>46014</v>
      </c>
      <c r="T16" s="54">
        <f t="shared" si="1"/>
        <v>46021</v>
      </c>
      <c r="U16" s="54">
        <f t="shared" si="1"/>
        <v>46028</v>
      </c>
      <c r="V16" s="54">
        <f t="shared" si="1"/>
        <v>46035</v>
      </c>
      <c r="W16" s="54">
        <f t="shared" si="1"/>
        <v>46042</v>
      </c>
      <c r="X16" s="54">
        <f t="shared" si="1"/>
        <v>46049</v>
      </c>
      <c r="Y16" s="48"/>
    </row>
    <row r="17" spans="1:25" s="11" customFormat="1" ht="16.5" customHeight="1" thickTop="1" thickBot="1" x14ac:dyDescent="0.3">
      <c r="A17" s="194"/>
      <c r="B17" s="12" t="s">
        <v>8</v>
      </c>
      <c r="C17" s="22">
        <f t="shared" si="4"/>
        <v>45902</v>
      </c>
      <c r="D17" s="35">
        <f t="shared" si="2"/>
        <v>45909</v>
      </c>
      <c r="E17" s="35">
        <f t="shared" si="1"/>
        <v>45916</v>
      </c>
      <c r="F17" s="35">
        <f t="shared" si="1"/>
        <v>45923</v>
      </c>
      <c r="G17" s="35">
        <f t="shared" si="1"/>
        <v>45930</v>
      </c>
      <c r="H17" s="35">
        <f t="shared" si="1"/>
        <v>45937</v>
      </c>
      <c r="I17" s="35">
        <f t="shared" si="1"/>
        <v>45944</v>
      </c>
      <c r="J17" s="35">
        <f t="shared" si="1"/>
        <v>45951</v>
      </c>
      <c r="K17" s="35">
        <f t="shared" si="1"/>
        <v>45958</v>
      </c>
      <c r="L17" s="35">
        <f t="shared" si="1"/>
        <v>45965</v>
      </c>
      <c r="M17" s="35">
        <f t="shared" si="1"/>
        <v>45972</v>
      </c>
      <c r="N17" s="35">
        <f t="shared" si="1"/>
        <v>45979</v>
      </c>
      <c r="O17" s="35">
        <f t="shared" si="1"/>
        <v>45986</v>
      </c>
      <c r="P17" s="35">
        <f t="shared" si="1"/>
        <v>45993</v>
      </c>
      <c r="Q17" s="35">
        <f t="shared" si="1"/>
        <v>46000</v>
      </c>
      <c r="R17" s="35">
        <f t="shared" si="1"/>
        <v>46007</v>
      </c>
      <c r="S17" s="35">
        <f t="shared" si="1"/>
        <v>46014</v>
      </c>
      <c r="T17" s="54">
        <f t="shared" si="1"/>
        <v>46021</v>
      </c>
      <c r="U17" s="54">
        <f t="shared" si="1"/>
        <v>46028</v>
      </c>
      <c r="V17" s="54">
        <f t="shared" si="1"/>
        <v>46035</v>
      </c>
      <c r="W17" s="54">
        <f t="shared" si="1"/>
        <v>46042</v>
      </c>
      <c r="X17" s="54">
        <f t="shared" si="1"/>
        <v>46049</v>
      </c>
      <c r="Y17" s="48"/>
    </row>
    <row r="18" spans="1:25" s="11" customFormat="1" ht="16.5" customHeight="1" thickTop="1" thickBot="1" x14ac:dyDescent="0.3">
      <c r="A18" s="194"/>
      <c r="B18" s="14" t="s">
        <v>9</v>
      </c>
      <c r="C18" s="22">
        <f t="shared" si="4"/>
        <v>45902</v>
      </c>
      <c r="D18" s="35">
        <f t="shared" ref="D18:X18" si="5">AddOneWeekToDateTime(C18)</f>
        <v>45909</v>
      </c>
      <c r="E18" s="35">
        <f t="shared" si="5"/>
        <v>45916</v>
      </c>
      <c r="F18" s="35">
        <f t="shared" si="5"/>
        <v>45923</v>
      </c>
      <c r="G18" s="35">
        <f t="shared" si="5"/>
        <v>45930</v>
      </c>
      <c r="H18" s="35">
        <f t="shared" si="5"/>
        <v>45937</v>
      </c>
      <c r="I18" s="35">
        <f t="shared" si="5"/>
        <v>45944</v>
      </c>
      <c r="J18" s="35">
        <f t="shared" si="5"/>
        <v>45951</v>
      </c>
      <c r="K18" s="35">
        <f t="shared" si="5"/>
        <v>45958</v>
      </c>
      <c r="L18" s="35">
        <f t="shared" si="5"/>
        <v>45965</v>
      </c>
      <c r="M18" s="35">
        <f t="shared" si="5"/>
        <v>45972</v>
      </c>
      <c r="N18" s="35">
        <f t="shared" si="5"/>
        <v>45979</v>
      </c>
      <c r="O18" s="35">
        <f t="shared" si="5"/>
        <v>45986</v>
      </c>
      <c r="P18" s="35">
        <f t="shared" si="5"/>
        <v>45993</v>
      </c>
      <c r="Q18" s="35">
        <f t="shared" si="5"/>
        <v>46000</v>
      </c>
      <c r="R18" s="35">
        <f t="shared" si="5"/>
        <v>46007</v>
      </c>
      <c r="S18" s="35">
        <f t="shared" si="5"/>
        <v>46014</v>
      </c>
      <c r="T18" s="54">
        <f t="shared" si="5"/>
        <v>46021</v>
      </c>
      <c r="U18" s="54">
        <f t="shared" si="5"/>
        <v>46028</v>
      </c>
      <c r="V18" s="54">
        <f t="shared" si="5"/>
        <v>46035</v>
      </c>
      <c r="W18" s="54">
        <f t="shared" si="5"/>
        <v>46042</v>
      </c>
      <c r="X18" s="54">
        <f t="shared" si="5"/>
        <v>46049</v>
      </c>
      <c r="Y18" s="63"/>
    </row>
    <row r="19" spans="1:25" s="11" customFormat="1" ht="16.5" customHeight="1" thickTop="1" thickBot="1" x14ac:dyDescent="0.3">
      <c r="A19" s="194"/>
      <c r="B19" s="13" t="s">
        <v>14</v>
      </c>
      <c r="C19" s="24">
        <f t="shared" si="4"/>
        <v>45902</v>
      </c>
      <c r="D19" s="36">
        <f t="shared" si="2"/>
        <v>45909</v>
      </c>
      <c r="E19" s="36">
        <f t="shared" si="1"/>
        <v>45916</v>
      </c>
      <c r="F19" s="36">
        <f t="shared" si="1"/>
        <v>45923</v>
      </c>
      <c r="G19" s="36">
        <f t="shared" si="1"/>
        <v>45930</v>
      </c>
      <c r="H19" s="36">
        <f t="shared" si="1"/>
        <v>45937</v>
      </c>
      <c r="I19" s="36">
        <f t="shared" si="1"/>
        <v>45944</v>
      </c>
      <c r="J19" s="36">
        <f t="shared" si="1"/>
        <v>45951</v>
      </c>
      <c r="K19" s="36">
        <f t="shared" si="1"/>
        <v>45958</v>
      </c>
      <c r="L19" s="36">
        <f t="shared" si="1"/>
        <v>45965</v>
      </c>
      <c r="M19" s="36">
        <f t="shared" si="1"/>
        <v>45972</v>
      </c>
      <c r="N19" s="36">
        <f t="shared" si="1"/>
        <v>45979</v>
      </c>
      <c r="O19" s="36">
        <f t="shared" si="1"/>
        <v>45986</v>
      </c>
      <c r="P19" s="36">
        <f t="shared" si="1"/>
        <v>45993</v>
      </c>
      <c r="Q19" s="36">
        <f t="shared" si="1"/>
        <v>46000</v>
      </c>
      <c r="R19" s="36">
        <f t="shared" si="1"/>
        <v>46007</v>
      </c>
      <c r="S19" s="36">
        <f t="shared" si="1"/>
        <v>46014</v>
      </c>
      <c r="T19" s="50">
        <f t="shared" si="1"/>
        <v>46021</v>
      </c>
      <c r="U19" s="50">
        <f t="shared" si="1"/>
        <v>46028</v>
      </c>
      <c r="V19" s="50">
        <f t="shared" si="1"/>
        <v>46035</v>
      </c>
      <c r="W19" s="50">
        <f t="shared" si="1"/>
        <v>46042</v>
      </c>
      <c r="X19" s="50">
        <f t="shared" si="1"/>
        <v>46049</v>
      </c>
      <c r="Y19" s="51"/>
    </row>
    <row r="20" spans="1:25" s="8" customFormat="1" ht="16.5" customHeight="1" thickTop="1" thickBot="1" x14ac:dyDescent="0.3">
      <c r="A20" s="193" t="s">
        <v>4</v>
      </c>
      <c r="B20" s="5" t="s">
        <v>10</v>
      </c>
      <c r="C20" s="18">
        <f t="shared" si="4"/>
        <v>45903</v>
      </c>
      <c r="D20" s="28">
        <f t="shared" si="2"/>
        <v>45910</v>
      </c>
      <c r="E20" s="28">
        <f t="shared" si="1"/>
        <v>45917</v>
      </c>
      <c r="F20" s="28">
        <f t="shared" si="1"/>
        <v>45924</v>
      </c>
      <c r="G20" s="28">
        <f t="shared" si="1"/>
        <v>45931</v>
      </c>
      <c r="H20" s="28">
        <f t="shared" si="1"/>
        <v>45938</v>
      </c>
      <c r="I20" s="28">
        <f t="shared" si="1"/>
        <v>45945</v>
      </c>
      <c r="J20" s="28">
        <f t="shared" si="1"/>
        <v>45952</v>
      </c>
      <c r="K20" s="28">
        <f t="shared" si="1"/>
        <v>45959</v>
      </c>
      <c r="L20" s="28">
        <f t="shared" si="1"/>
        <v>45966</v>
      </c>
      <c r="M20" s="28">
        <f t="shared" si="1"/>
        <v>45973</v>
      </c>
      <c r="N20" s="28">
        <f t="shared" si="1"/>
        <v>45980</v>
      </c>
      <c r="O20" s="28">
        <f t="shared" si="1"/>
        <v>45987</v>
      </c>
      <c r="P20" s="28">
        <f t="shared" si="1"/>
        <v>45994</v>
      </c>
      <c r="Q20" s="28">
        <f t="shared" si="1"/>
        <v>46001</v>
      </c>
      <c r="R20" s="28">
        <f t="shared" si="1"/>
        <v>46008</v>
      </c>
      <c r="S20" s="28">
        <f t="shared" si="1"/>
        <v>46015</v>
      </c>
      <c r="T20" s="52">
        <f t="shared" si="1"/>
        <v>46022</v>
      </c>
      <c r="U20" s="52">
        <f t="shared" si="1"/>
        <v>46029</v>
      </c>
      <c r="V20" s="52">
        <f t="shared" si="1"/>
        <v>46036</v>
      </c>
      <c r="W20" s="52">
        <f t="shared" si="1"/>
        <v>46043</v>
      </c>
      <c r="X20" s="52">
        <f t="shared" si="1"/>
        <v>46050</v>
      </c>
      <c r="Y20" s="53"/>
    </row>
    <row r="21" spans="1:25" s="8" customFormat="1" ht="16.5" customHeight="1" thickTop="1" thickBot="1" x14ac:dyDescent="0.3">
      <c r="A21" s="193"/>
      <c r="B21" s="6" t="s">
        <v>11</v>
      </c>
      <c r="C21" s="19">
        <f t="shared" si="4"/>
        <v>45903</v>
      </c>
      <c r="D21" s="16">
        <f t="shared" si="2"/>
        <v>45910</v>
      </c>
      <c r="E21" s="16">
        <f t="shared" si="1"/>
        <v>45917</v>
      </c>
      <c r="F21" s="16">
        <f t="shared" si="1"/>
        <v>45924</v>
      </c>
      <c r="G21" s="16">
        <f t="shared" si="1"/>
        <v>45931</v>
      </c>
      <c r="H21" s="16">
        <f t="shared" si="1"/>
        <v>45938</v>
      </c>
      <c r="I21" s="16">
        <f t="shared" si="1"/>
        <v>45945</v>
      </c>
      <c r="J21" s="16">
        <f t="shared" si="1"/>
        <v>45952</v>
      </c>
      <c r="K21" s="16">
        <f t="shared" si="1"/>
        <v>45959</v>
      </c>
      <c r="L21" s="16">
        <f t="shared" si="1"/>
        <v>45966</v>
      </c>
      <c r="M21" s="16">
        <f t="shared" si="1"/>
        <v>45973</v>
      </c>
      <c r="N21" s="16">
        <f t="shared" si="1"/>
        <v>45980</v>
      </c>
      <c r="O21" s="16">
        <f t="shared" ref="E21:X34" si="6">AddOneWeekToDateTime(N21)</f>
        <v>45987</v>
      </c>
      <c r="P21" s="16">
        <f t="shared" si="6"/>
        <v>45994</v>
      </c>
      <c r="Q21" s="16">
        <f t="shared" si="6"/>
        <v>46001</v>
      </c>
      <c r="R21" s="16">
        <f t="shared" si="6"/>
        <v>46008</v>
      </c>
      <c r="S21" s="16">
        <f t="shared" si="6"/>
        <v>46015</v>
      </c>
      <c r="T21" s="54">
        <f t="shared" si="6"/>
        <v>46022</v>
      </c>
      <c r="U21" s="54">
        <f t="shared" si="6"/>
        <v>46029</v>
      </c>
      <c r="V21" s="54">
        <f t="shared" si="6"/>
        <v>46036</v>
      </c>
      <c r="W21" s="54">
        <f t="shared" si="6"/>
        <v>46043</v>
      </c>
      <c r="X21" s="54">
        <f t="shared" si="6"/>
        <v>46050</v>
      </c>
      <c r="Y21" s="48"/>
    </row>
    <row r="22" spans="1:25" s="8" customFormat="1" ht="16.5" customHeight="1" thickTop="1" thickBot="1" x14ac:dyDescent="0.3">
      <c r="A22" s="193"/>
      <c r="B22" s="6" t="s">
        <v>12</v>
      </c>
      <c r="C22" s="19">
        <f t="shared" si="4"/>
        <v>45903</v>
      </c>
      <c r="D22" s="16">
        <f t="shared" si="2"/>
        <v>45910</v>
      </c>
      <c r="E22" s="16">
        <f t="shared" si="6"/>
        <v>45917</v>
      </c>
      <c r="F22" s="16">
        <f t="shared" si="6"/>
        <v>45924</v>
      </c>
      <c r="G22" s="16">
        <f t="shared" si="6"/>
        <v>45931</v>
      </c>
      <c r="H22" s="16">
        <f t="shared" si="6"/>
        <v>45938</v>
      </c>
      <c r="I22" s="16">
        <f t="shared" si="6"/>
        <v>45945</v>
      </c>
      <c r="J22" s="16">
        <f t="shared" si="6"/>
        <v>45952</v>
      </c>
      <c r="K22" s="16">
        <f t="shared" si="6"/>
        <v>45959</v>
      </c>
      <c r="L22" s="16">
        <f t="shared" si="6"/>
        <v>45966</v>
      </c>
      <c r="M22" s="16">
        <f t="shared" si="6"/>
        <v>45973</v>
      </c>
      <c r="N22" s="16">
        <f t="shared" si="6"/>
        <v>45980</v>
      </c>
      <c r="O22" s="16">
        <f t="shared" si="6"/>
        <v>45987</v>
      </c>
      <c r="P22" s="16">
        <f t="shared" si="6"/>
        <v>45994</v>
      </c>
      <c r="Q22" s="16">
        <f t="shared" si="6"/>
        <v>46001</v>
      </c>
      <c r="R22" s="16">
        <f t="shared" si="6"/>
        <v>46008</v>
      </c>
      <c r="S22" s="16">
        <f t="shared" si="6"/>
        <v>46015</v>
      </c>
      <c r="T22" s="54">
        <f t="shared" si="6"/>
        <v>46022</v>
      </c>
      <c r="U22" s="54">
        <f t="shared" si="6"/>
        <v>46029</v>
      </c>
      <c r="V22" s="54">
        <f t="shared" si="6"/>
        <v>46036</v>
      </c>
      <c r="W22" s="54">
        <f t="shared" si="6"/>
        <v>46043</v>
      </c>
      <c r="X22" s="54">
        <f t="shared" si="6"/>
        <v>46050</v>
      </c>
      <c r="Y22" s="48"/>
    </row>
    <row r="23" spans="1:25" s="8" customFormat="1" ht="16.5" customHeight="1" thickTop="1" thickBot="1" x14ac:dyDescent="0.3">
      <c r="A23" s="193"/>
      <c r="B23" s="6" t="s">
        <v>7</v>
      </c>
      <c r="C23" s="19">
        <f t="shared" si="4"/>
        <v>45903</v>
      </c>
      <c r="D23" s="16">
        <f t="shared" si="2"/>
        <v>45910</v>
      </c>
      <c r="E23" s="16">
        <f t="shared" si="6"/>
        <v>45917</v>
      </c>
      <c r="F23" s="16">
        <f t="shared" si="6"/>
        <v>45924</v>
      </c>
      <c r="G23" s="16">
        <f t="shared" si="6"/>
        <v>45931</v>
      </c>
      <c r="H23" s="16">
        <f t="shared" si="6"/>
        <v>45938</v>
      </c>
      <c r="I23" s="16">
        <f t="shared" si="6"/>
        <v>45945</v>
      </c>
      <c r="J23" s="16">
        <f t="shared" si="6"/>
        <v>45952</v>
      </c>
      <c r="K23" s="16">
        <f t="shared" si="6"/>
        <v>45959</v>
      </c>
      <c r="L23" s="16">
        <f t="shared" si="6"/>
        <v>45966</v>
      </c>
      <c r="M23" s="16">
        <f t="shared" si="6"/>
        <v>45973</v>
      </c>
      <c r="N23" s="16">
        <f t="shared" si="6"/>
        <v>45980</v>
      </c>
      <c r="O23" s="16">
        <f t="shared" si="6"/>
        <v>45987</v>
      </c>
      <c r="P23" s="16">
        <f t="shared" si="6"/>
        <v>45994</v>
      </c>
      <c r="Q23" s="16">
        <f t="shared" si="6"/>
        <v>46001</v>
      </c>
      <c r="R23" s="16">
        <f t="shared" si="6"/>
        <v>46008</v>
      </c>
      <c r="S23" s="16">
        <f t="shared" si="6"/>
        <v>46015</v>
      </c>
      <c r="T23" s="54">
        <f t="shared" si="6"/>
        <v>46022</v>
      </c>
      <c r="U23" s="54">
        <f t="shared" si="6"/>
        <v>46029</v>
      </c>
      <c r="V23" s="54">
        <f t="shared" si="6"/>
        <v>46036</v>
      </c>
      <c r="W23" s="54">
        <f t="shared" si="6"/>
        <v>46043</v>
      </c>
      <c r="X23" s="54">
        <f t="shared" si="6"/>
        <v>46050</v>
      </c>
      <c r="Y23" s="48"/>
    </row>
    <row r="24" spans="1:25" s="8" customFormat="1" ht="16.5" customHeight="1" thickTop="1" thickBot="1" x14ac:dyDescent="0.3">
      <c r="A24" s="193"/>
      <c r="B24" s="6" t="s">
        <v>8</v>
      </c>
      <c r="C24" s="19">
        <f t="shared" si="4"/>
        <v>45903</v>
      </c>
      <c r="D24" s="30">
        <f t="shared" si="2"/>
        <v>45910</v>
      </c>
      <c r="E24" s="30">
        <f t="shared" si="6"/>
        <v>45917</v>
      </c>
      <c r="F24" s="30">
        <f t="shared" si="6"/>
        <v>45924</v>
      </c>
      <c r="G24" s="30">
        <f t="shared" si="6"/>
        <v>45931</v>
      </c>
      <c r="H24" s="30">
        <f t="shared" si="6"/>
        <v>45938</v>
      </c>
      <c r="I24" s="30">
        <f t="shared" si="6"/>
        <v>45945</v>
      </c>
      <c r="J24" s="30">
        <f t="shared" si="6"/>
        <v>45952</v>
      </c>
      <c r="K24" s="30">
        <f t="shared" si="6"/>
        <v>45959</v>
      </c>
      <c r="L24" s="30">
        <f t="shared" si="6"/>
        <v>45966</v>
      </c>
      <c r="M24" s="30">
        <f t="shared" si="6"/>
        <v>45973</v>
      </c>
      <c r="N24" s="30">
        <f t="shared" si="6"/>
        <v>45980</v>
      </c>
      <c r="O24" s="30">
        <f t="shared" si="6"/>
        <v>45987</v>
      </c>
      <c r="P24" s="30">
        <f t="shared" si="6"/>
        <v>45994</v>
      </c>
      <c r="Q24" s="30">
        <f t="shared" si="6"/>
        <v>46001</v>
      </c>
      <c r="R24" s="30">
        <f t="shared" si="6"/>
        <v>46008</v>
      </c>
      <c r="S24" s="30">
        <f t="shared" si="6"/>
        <v>46015</v>
      </c>
      <c r="T24" s="49">
        <f t="shared" si="6"/>
        <v>46022</v>
      </c>
      <c r="U24" s="49">
        <f t="shared" si="6"/>
        <v>46029</v>
      </c>
      <c r="V24" s="49">
        <f t="shared" si="6"/>
        <v>46036</v>
      </c>
      <c r="W24" s="49">
        <f t="shared" si="6"/>
        <v>46043</v>
      </c>
      <c r="X24" s="49">
        <f t="shared" si="6"/>
        <v>46050</v>
      </c>
      <c r="Y24" s="48"/>
    </row>
    <row r="25" spans="1:25" s="8" customFormat="1" ht="16.5" customHeight="1" thickTop="1" thickBot="1" x14ac:dyDescent="0.3">
      <c r="A25" s="193"/>
      <c r="B25" s="6" t="s">
        <v>9</v>
      </c>
      <c r="C25" s="19">
        <f t="shared" ref="C25:C26" si="7">AddOneDayToDateTime(C18)</f>
        <v>45903</v>
      </c>
      <c r="D25" s="16">
        <f t="shared" si="2"/>
        <v>45910</v>
      </c>
      <c r="E25" s="16">
        <f t="shared" si="6"/>
        <v>45917</v>
      </c>
      <c r="F25" s="16">
        <f t="shared" si="6"/>
        <v>45924</v>
      </c>
      <c r="G25" s="16">
        <f t="shared" si="6"/>
        <v>45931</v>
      </c>
      <c r="H25" s="16">
        <f t="shared" si="6"/>
        <v>45938</v>
      </c>
      <c r="I25" s="16">
        <f t="shared" si="6"/>
        <v>45945</v>
      </c>
      <c r="J25" s="16">
        <f t="shared" si="6"/>
        <v>45952</v>
      </c>
      <c r="K25" s="16">
        <f t="shared" si="6"/>
        <v>45959</v>
      </c>
      <c r="L25" s="16">
        <f t="shared" si="6"/>
        <v>45966</v>
      </c>
      <c r="M25" s="16">
        <f t="shared" si="6"/>
        <v>45973</v>
      </c>
      <c r="N25" s="16">
        <f t="shared" si="6"/>
        <v>45980</v>
      </c>
      <c r="O25" s="16">
        <f t="shared" si="6"/>
        <v>45987</v>
      </c>
      <c r="P25" s="16">
        <f t="shared" si="6"/>
        <v>45994</v>
      </c>
      <c r="Q25" s="16">
        <f t="shared" si="6"/>
        <v>46001</v>
      </c>
      <c r="R25" s="16">
        <f t="shared" si="6"/>
        <v>46008</v>
      </c>
      <c r="S25" s="16">
        <f t="shared" si="6"/>
        <v>46015</v>
      </c>
      <c r="T25" s="54">
        <f t="shared" si="6"/>
        <v>46022</v>
      </c>
      <c r="U25" s="54">
        <f t="shared" si="6"/>
        <v>46029</v>
      </c>
      <c r="V25" s="54">
        <f t="shared" si="6"/>
        <v>46036</v>
      </c>
      <c r="W25" s="54">
        <f t="shared" si="6"/>
        <v>46043</v>
      </c>
      <c r="X25" s="54">
        <f t="shared" si="6"/>
        <v>46050</v>
      </c>
      <c r="Y25" s="48"/>
    </row>
    <row r="26" spans="1:25" s="8" customFormat="1" ht="16.5" customHeight="1" thickTop="1" thickBot="1" x14ac:dyDescent="0.3">
      <c r="A26" s="193"/>
      <c r="B26" s="7" t="s">
        <v>14</v>
      </c>
      <c r="C26" s="20">
        <f t="shared" si="7"/>
        <v>45903</v>
      </c>
      <c r="D26" s="33">
        <f t="shared" si="2"/>
        <v>45910</v>
      </c>
      <c r="E26" s="33">
        <f t="shared" si="6"/>
        <v>45917</v>
      </c>
      <c r="F26" s="33">
        <f t="shared" si="6"/>
        <v>45924</v>
      </c>
      <c r="G26" s="33">
        <f t="shared" si="6"/>
        <v>45931</v>
      </c>
      <c r="H26" s="33">
        <f t="shared" si="6"/>
        <v>45938</v>
      </c>
      <c r="I26" s="33">
        <f t="shared" si="6"/>
        <v>45945</v>
      </c>
      <c r="J26" s="33">
        <f t="shared" si="6"/>
        <v>45952</v>
      </c>
      <c r="K26" s="33">
        <f t="shared" si="6"/>
        <v>45959</v>
      </c>
      <c r="L26" s="33">
        <f t="shared" si="6"/>
        <v>45966</v>
      </c>
      <c r="M26" s="33">
        <f t="shared" si="6"/>
        <v>45973</v>
      </c>
      <c r="N26" s="33">
        <f t="shared" si="6"/>
        <v>45980</v>
      </c>
      <c r="O26" s="33">
        <f t="shared" si="6"/>
        <v>45987</v>
      </c>
      <c r="P26" s="33">
        <f t="shared" si="6"/>
        <v>45994</v>
      </c>
      <c r="Q26" s="33">
        <f t="shared" si="6"/>
        <v>46001</v>
      </c>
      <c r="R26" s="33">
        <f t="shared" si="6"/>
        <v>46008</v>
      </c>
      <c r="S26" s="33">
        <f t="shared" si="6"/>
        <v>46015</v>
      </c>
      <c r="T26" s="50">
        <f t="shared" si="6"/>
        <v>46022</v>
      </c>
      <c r="U26" s="50">
        <f t="shared" si="6"/>
        <v>46029</v>
      </c>
      <c r="V26" s="50">
        <f t="shared" si="6"/>
        <v>46036</v>
      </c>
      <c r="W26" s="50">
        <f t="shared" si="6"/>
        <v>46043</v>
      </c>
      <c r="X26" s="50">
        <f t="shared" si="6"/>
        <v>46050</v>
      </c>
      <c r="Y26" s="51"/>
    </row>
    <row r="27" spans="1:25" s="11" customFormat="1" ht="16.5" customHeight="1" thickTop="1" thickBot="1" x14ac:dyDescent="0.3">
      <c r="A27" s="194" t="s">
        <v>5</v>
      </c>
      <c r="B27" s="10" t="s">
        <v>10</v>
      </c>
      <c r="C27" s="25">
        <f>AddOneDayToDateTime(C20)</f>
        <v>45904</v>
      </c>
      <c r="D27" s="37">
        <f t="shared" si="2"/>
        <v>45911</v>
      </c>
      <c r="E27" s="37">
        <f t="shared" si="6"/>
        <v>45918</v>
      </c>
      <c r="F27" s="37">
        <f t="shared" si="6"/>
        <v>45925</v>
      </c>
      <c r="G27" s="37">
        <f t="shared" si="6"/>
        <v>45932</v>
      </c>
      <c r="H27" s="37">
        <f t="shared" si="6"/>
        <v>45939</v>
      </c>
      <c r="I27" s="37">
        <f t="shared" si="6"/>
        <v>45946</v>
      </c>
      <c r="J27" s="37">
        <f t="shared" si="6"/>
        <v>45953</v>
      </c>
      <c r="K27" s="37">
        <f t="shared" si="6"/>
        <v>45960</v>
      </c>
      <c r="L27" s="37">
        <f t="shared" si="6"/>
        <v>45967</v>
      </c>
      <c r="M27" s="37">
        <f t="shared" si="6"/>
        <v>45974</v>
      </c>
      <c r="N27" s="37">
        <f t="shared" si="6"/>
        <v>45981</v>
      </c>
      <c r="O27" s="37">
        <f t="shared" si="6"/>
        <v>45988</v>
      </c>
      <c r="P27" s="37">
        <f t="shared" si="6"/>
        <v>45995</v>
      </c>
      <c r="Q27" s="37">
        <f t="shared" si="6"/>
        <v>46002</v>
      </c>
      <c r="R27" s="37">
        <f t="shared" si="6"/>
        <v>46009</v>
      </c>
      <c r="S27" s="37">
        <f t="shared" si="6"/>
        <v>46016</v>
      </c>
      <c r="T27" s="46">
        <f t="shared" si="6"/>
        <v>46023</v>
      </c>
      <c r="U27" s="46">
        <f t="shared" si="6"/>
        <v>46030</v>
      </c>
      <c r="V27" s="46">
        <f t="shared" si="6"/>
        <v>46037</v>
      </c>
      <c r="W27" s="46">
        <f t="shared" si="6"/>
        <v>46044</v>
      </c>
      <c r="X27" s="46">
        <f t="shared" si="6"/>
        <v>46051</v>
      </c>
      <c r="Y27" s="53"/>
    </row>
    <row r="28" spans="1:25" s="11" customFormat="1" ht="16.5" customHeight="1" thickTop="1" thickBot="1" x14ac:dyDescent="0.3">
      <c r="A28" s="194"/>
      <c r="B28" s="12" t="s">
        <v>11</v>
      </c>
      <c r="C28" s="22">
        <f t="shared" ref="C28:C33" si="8">AddOneDayToDateTime(C21)</f>
        <v>45904</v>
      </c>
      <c r="D28" s="35">
        <f t="shared" si="2"/>
        <v>45911</v>
      </c>
      <c r="E28" s="35">
        <f t="shared" si="6"/>
        <v>45918</v>
      </c>
      <c r="F28" s="35">
        <f t="shared" si="6"/>
        <v>45925</v>
      </c>
      <c r="G28" s="35">
        <f t="shared" si="6"/>
        <v>45932</v>
      </c>
      <c r="H28" s="35">
        <f t="shared" si="6"/>
        <v>45939</v>
      </c>
      <c r="I28" s="35">
        <f t="shared" si="6"/>
        <v>45946</v>
      </c>
      <c r="J28" s="35">
        <f t="shared" si="6"/>
        <v>45953</v>
      </c>
      <c r="K28" s="35">
        <f t="shared" si="6"/>
        <v>45960</v>
      </c>
      <c r="L28" s="35">
        <f t="shared" si="6"/>
        <v>45967</v>
      </c>
      <c r="M28" s="35">
        <f t="shared" si="6"/>
        <v>45974</v>
      </c>
      <c r="N28" s="35">
        <f t="shared" si="6"/>
        <v>45981</v>
      </c>
      <c r="O28" s="35">
        <f t="shared" si="6"/>
        <v>45988</v>
      </c>
      <c r="P28" s="35">
        <f t="shared" si="6"/>
        <v>45995</v>
      </c>
      <c r="Q28" s="35">
        <f t="shared" si="6"/>
        <v>46002</v>
      </c>
      <c r="R28" s="35">
        <f t="shared" si="6"/>
        <v>46009</v>
      </c>
      <c r="S28" s="35">
        <f t="shared" si="6"/>
        <v>46016</v>
      </c>
      <c r="T28" s="54">
        <f t="shared" si="6"/>
        <v>46023</v>
      </c>
      <c r="U28" s="54">
        <f t="shared" si="6"/>
        <v>46030</v>
      </c>
      <c r="V28" s="54">
        <f t="shared" si="6"/>
        <v>46037</v>
      </c>
      <c r="W28" s="54">
        <f t="shared" si="6"/>
        <v>46044</v>
      </c>
      <c r="X28" s="54">
        <f t="shared" si="6"/>
        <v>46051</v>
      </c>
      <c r="Y28" s="48"/>
    </row>
    <row r="29" spans="1:25" s="11" customFormat="1" ht="16.5" customHeight="1" thickTop="1" thickBot="1" x14ac:dyDescent="0.3">
      <c r="A29" s="194"/>
      <c r="B29" s="12" t="s">
        <v>12</v>
      </c>
      <c r="C29" s="22">
        <f t="shared" si="8"/>
        <v>45904</v>
      </c>
      <c r="D29" s="35">
        <f t="shared" si="2"/>
        <v>45911</v>
      </c>
      <c r="E29" s="35">
        <f t="shared" si="6"/>
        <v>45918</v>
      </c>
      <c r="F29" s="35">
        <f t="shared" si="6"/>
        <v>45925</v>
      </c>
      <c r="G29" s="35">
        <f t="shared" si="6"/>
        <v>45932</v>
      </c>
      <c r="H29" s="35">
        <f t="shared" si="6"/>
        <v>45939</v>
      </c>
      <c r="I29" s="35">
        <f t="shared" si="6"/>
        <v>45946</v>
      </c>
      <c r="J29" s="35">
        <f t="shared" si="6"/>
        <v>45953</v>
      </c>
      <c r="K29" s="35">
        <f t="shared" si="6"/>
        <v>45960</v>
      </c>
      <c r="L29" s="35">
        <f t="shared" si="6"/>
        <v>45967</v>
      </c>
      <c r="M29" s="35">
        <f t="shared" si="6"/>
        <v>45974</v>
      </c>
      <c r="N29" s="35">
        <f t="shared" si="6"/>
        <v>45981</v>
      </c>
      <c r="O29" s="35">
        <f t="shared" si="6"/>
        <v>45988</v>
      </c>
      <c r="P29" s="35">
        <f t="shared" si="6"/>
        <v>45995</v>
      </c>
      <c r="Q29" s="35">
        <f t="shared" si="6"/>
        <v>46002</v>
      </c>
      <c r="R29" s="35">
        <f t="shared" si="6"/>
        <v>46009</v>
      </c>
      <c r="S29" s="35">
        <f t="shared" si="6"/>
        <v>46016</v>
      </c>
      <c r="T29" s="54">
        <f t="shared" si="6"/>
        <v>46023</v>
      </c>
      <c r="U29" s="54">
        <f t="shared" si="6"/>
        <v>46030</v>
      </c>
      <c r="V29" s="54">
        <f t="shared" si="6"/>
        <v>46037</v>
      </c>
      <c r="W29" s="54">
        <f t="shared" si="6"/>
        <v>46044</v>
      </c>
      <c r="X29" s="54">
        <f t="shared" si="6"/>
        <v>46051</v>
      </c>
      <c r="Y29" s="48"/>
    </row>
    <row r="30" spans="1:25" s="11" customFormat="1" ht="16.5" customHeight="1" thickTop="1" thickBot="1" x14ac:dyDescent="0.3">
      <c r="A30" s="194"/>
      <c r="B30" s="12" t="s">
        <v>7</v>
      </c>
      <c r="C30" s="26">
        <f t="shared" si="8"/>
        <v>45904</v>
      </c>
      <c r="D30" s="27">
        <f t="shared" si="2"/>
        <v>45911</v>
      </c>
      <c r="E30" s="27">
        <f t="shared" si="6"/>
        <v>45918</v>
      </c>
      <c r="F30" s="27">
        <f t="shared" si="6"/>
        <v>45925</v>
      </c>
      <c r="G30" s="27">
        <f t="shared" si="6"/>
        <v>45932</v>
      </c>
      <c r="H30" s="27">
        <f t="shared" si="6"/>
        <v>45939</v>
      </c>
      <c r="I30" s="27">
        <f t="shared" si="6"/>
        <v>45946</v>
      </c>
      <c r="J30" s="27">
        <f t="shared" si="6"/>
        <v>45953</v>
      </c>
      <c r="K30" s="27">
        <f t="shared" si="6"/>
        <v>45960</v>
      </c>
      <c r="L30" s="27">
        <f t="shared" si="6"/>
        <v>45967</v>
      </c>
      <c r="M30" s="27">
        <f t="shared" si="6"/>
        <v>45974</v>
      </c>
      <c r="N30" s="27">
        <f t="shared" si="6"/>
        <v>45981</v>
      </c>
      <c r="O30" s="27">
        <f t="shared" si="6"/>
        <v>45988</v>
      </c>
      <c r="P30" s="27">
        <f t="shared" si="6"/>
        <v>45995</v>
      </c>
      <c r="Q30" s="27">
        <f t="shared" si="6"/>
        <v>46002</v>
      </c>
      <c r="R30" s="27">
        <f t="shared" si="6"/>
        <v>46009</v>
      </c>
      <c r="S30" s="27">
        <f t="shared" si="6"/>
        <v>46016</v>
      </c>
      <c r="T30" s="49">
        <f t="shared" si="6"/>
        <v>46023</v>
      </c>
      <c r="U30" s="49">
        <f t="shared" si="6"/>
        <v>46030</v>
      </c>
      <c r="V30" s="49">
        <f t="shared" si="6"/>
        <v>46037</v>
      </c>
      <c r="W30" s="49">
        <f t="shared" si="6"/>
        <v>46044</v>
      </c>
      <c r="X30" s="49">
        <f t="shared" si="6"/>
        <v>46051</v>
      </c>
      <c r="Y30" s="48"/>
    </row>
    <row r="31" spans="1:25" s="11" customFormat="1" ht="16.5" customHeight="1" thickTop="1" thickBot="1" x14ac:dyDescent="0.3">
      <c r="A31" s="194"/>
      <c r="B31" s="12" t="s">
        <v>8</v>
      </c>
      <c r="C31" s="27">
        <f t="shared" si="8"/>
        <v>45904</v>
      </c>
      <c r="D31" s="27">
        <f t="shared" si="2"/>
        <v>45911</v>
      </c>
      <c r="E31" s="27">
        <f t="shared" si="6"/>
        <v>45918</v>
      </c>
      <c r="F31" s="27">
        <f t="shared" si="6"/>
        <v>45925</v>
      </c>
      <c r="G31" s="27">
        <f t="shared" si="6"/>
        <v>45932</v>
      </c>
      <c r="H31" s="27">
        <f t="shared" si="6"/>
        <v>45939</v>
      </c>
      <c r="I31" s="27">
        <f t="shared" si="6"/>
        <v>45946</v>
      </c>
      <c r="J31" s="27">
        <f t="shared" si="6"/>
        <v>45953</v>
      </c>
      <c r="K31" s="27">
        <f t="shared" si="6"/>
        <v>45960</v>
      </c>
      <c r="L31" s="27">
        <f t="shared" si="6"/>
        <v>45967</v>
      </c>
      <c r="M31" s="27">
        <f t="shared" si="6"/>
        <v>45974</v>
      </c>
      <c r="N31" s="27">
        <f t="shared" si="6"/>
        <v>45981</v>
      </c>
      <c r="O31" s="27">
        <f t="shared" si="6"/>
        <v>45988</v>
      </c>
      <c r="P31" s="27">
        <f t="shared" si="6"/>
        <v>45995</v>
      </c>
      <c r="Q31" s="27">
        <f t="shared" si="6"/>
        <v>46002</v>
      </c>
      <c r="R31" s="27">
        <f t="shared" si="6"/>
        <v>46009</v>
      </c>
      <c r="S31" s="27">
        <f t="shared" si="6"/>
        <v>46016</v>
      </c>
      <c r="T31" s="49">
        <f t="shared" si="6"/>
        <v>46023</v>
      </c>
      <c r="U31" s="49">
        <f t="shared" si="6"/>
        <v>46030</v>
      </c>
      <c r="V31" s="49">
        <f t="shared" si="6"/>
        <v>46037</v>
      </c>
      <c r="W31" s="49">
        <f t="shared" si="6"/>
        <v>46044</v>
      </c>
      <c r="X31" s="49">
        <f t="shared" si="6"/>
        <v>46051</v>
      </c>
      <c r="Y31" s="55"/>
    </row>
    <row r="32" spans="1:25" s="11" customFormat="1" ht="16.5" customHeight="1" thickTop="1" thickBot="1" x14ac:dyDescent="0.3">
      <c r="A32" s="194"/>
      <c r="B32" s="14" t="s">
        <v>9</v>
      </c>
      <c r="C32" s="27">
        <f t="shared" si="8"/>
        <v>45904</v>
      </c>
      <c r="D32" s="27">
        <f t="shared" si="2"/>
        <v>45911</v>
      </c>
      <c r="E32" s="27">
        <f t="shared" si="6"/>
        <v>45918</v>
      </c>
      <c r="F32" s="27">
        <f t="shared" si="6"/>
        <v>45925</v>
      </c>
      <c r="G32" s="27">
        <f t="shared" si="6"/>
        <v>45932</v>
      </c>
      <c r="H32" s="27">
        <f t="shared" si="6"/>
        <v>45939</v>
      </c>
      <c r="I32" s="27">
        <f t="shared" si="6"/>
        <v>45946</v>
      </c>
      <c r="J32" s="27">
        <f t="shared" si="6"/>
        <v>45953</v>
      </c>
      <c r="K32" s="27">
        <f t="shared" si="6"/>
        <v>45960</v>
      </c>
      <c r="L32" s="27">
        <f t="shared" si="6"/>
        <v>45967</v>
      </c>
      <c r="M32" s="27">
        <f t="shared" si="6"/>
        <v>45974</v>
      </c>
      <c r="N32" s="27">
        <f t="shared" si="6"/>
        <v>45981</v>
      </c>
      <c r="O32" s="27">
        <f t="shared" si="6"/>
        <v>45988</v>
      </c>
      <c r="P32" s="27">
        <f t="shared" si="6"/>
        <v>45995</v>
      </c>
      <c r="Q32" s="27">
        <f t="shared" si="6"/>
        <v>46002</v>
      </c>
      <c r="R32" s="27">
        <f t="shared" si="6"/>
        <v>46009</v>
      </c>
      <c r="S32" s="27">
        <f t="shared" si="6"/>
        <v>46016</v>
      </c>
      <c r="T32" s="49">
        <f t="shared" si="6"/>
        <v>46023</v>
      </c>
      <c r="U32" s="49">
        <f t="shared" si="6"/>
        <v>46030</v>
      </c>
      <c r="V32" s="49">
        <f t="shared" si="6"/>
        <v>46037</v>
      </c>
      <c r="W32" s="49">
        <f t="shared" si="6"/>
        <v>46044</v>
      </c>
      <c r="X32" s="49">
        <f t="shared" si="6"/>
        <v>46051</v>
      </c>
      <c r="Y32" s="56"/>
    </row>
    <row r="33" spans="1:25" s="11" customFormat="1" ht="16.5" customHeight="1" thickTop="1" thickBot="1" x14ac:dyDescent="0.3">
      <c r="A33" s="194"/>
      <c r="B33" s="13" t="s">
        <v>14</v>
      </c>
      <c r="C33" s="27">
        <f t="shared" si="8"/>
        <v>45904</v>
      </c>
      <c r="D33" s="35">
        <f t="shared" si="2"/>
        <v>45911</v>
      </c>
      <c r="E33" s="35">
        <f t="shared" si="6"/>
        <v>45918</v>
      </c>
      <c r="F33" s="35">
        <f t="shared" si="6"/>
        <v>45925</v>
      </c>
      <c r="G33" s="35">
        <f t="shared" si="6"/>
        <v>45932</v>
      </c>
      <c r="H33" s="35">
        <f t="shared" si="6"/>
        <v>45939</v>
      </c>
      <c r="I33" s="35">
        <f t="shared" si="6"/>
        <v>45946</v>
      </c>
      <c r="J33" s="35">
        <f t="shared" si="6"/>
        <v>45953</v>
      </c>
      <c r="K33" s="35">
        <f t="shared" si="6"/>
        <v>45960</v>
      </c>
      <c r="L33" s="35">
        <f t="shared" si="6"/>
        <v>45967</v>
      </c>
      <c r="M33" s="35">
        <f t="shared" si="6"/>
        <v>45974</v>
      </c>
      <c r="N33" s="35">
        <f t="shared" si="6"/>
        <v>45981</v>
      </c>
      <c r="O33" s="35">
        <f t="shared" si="6"/>
        <v>45988</v>
      </c>
      <c r="P33" s="35">
        <f t="shared" si="6"/>
        <v>45995</v>
      </c>
      <c r="Q33" s="35">
        <f t="shared" si="6"/>
        <v>46002</v>
      </c>
      <c r="R33" s="35">
        <f t="shared" si="6"/>
        <v>46009</v>
      </c>
      <c r="S33" s="35">
        <f t="shared" si="6"/>
        <v>46016</v>
      </c>
      <c r="T33" s="54">
        <f t="shared" si="6"/>
        <v>46023</v>
      </c>
      <c r="U33" s="54">
        <f t="shared" si="6"/>
        <v>46030</v>
      </c>
      <c r="V33" s="54">
        <f t="shared" si="6"/>
        <v>46037</v>
      </c>
      <c r="W33" s="54">
        <f t="shared" si="6"/>
        <v>46044</v>
      </c>
      <c r="X33" s="54">
        <f t="shared" si="6"/>
        <v>46051</v>
      </c>
      <c r="Y33" s="51"/>
    </row>
    <row r="34" spans="1:25" s="8" customFormat="1" ht="16.5" customHeight="1" thickTop="1" thickBot="1" x14ac:dyDescent="0.3">
      <c r="A34" s="188" t="s">
        <v>6</v>
      </c>
      <c r="B34" s="5" t="s">
        <v>10</v>
      </c>
      <c r="C34" s="28">
        <f>AddOneDayToCellValue(C27)</f>
        <v>45905</v>
      </c>
      <c r="D34" s="28">
        <f t="shared" si="2"/>
        <v>45912</v>
      </c>
      <c r="E34" s="28">
        <f t="shared" si="6"/>
        <v>45919</v>
      </c>
      <c r="F34" s="28">
        <f t="shared" si="6"/>
        <v>45926</v>
      </c>
      <c r="G34" s="28">
        <f t="shared" si="6"/>
        <v>45933</v>
      </c>
      <c r="H34" s="28">
        <f t="shared" si="6"/>
        <v>45940</v>
      </c>
      <c r="I34" s="28">
        <f t="shared" si="6"/>
        <v>45947</v>
      </c>
      <c r="J34" s="28">
        <f t="shared" ref="E34:X47" si="9">AddOneWeekToDateTime(I34)</f>
        <v>45954</v>
      </c>
      <c r="K34" s="28">
        <f t="shared" si="9"/>
        <v>45961</v>
      </c>
      <c r="L34" s="28">
        <f t="shared" si="9"/>
        <v>45968</v>
      </c>
      <c r="M34" s="28">
        <f t="shared" si="9"/>
        <v>45975</v>
      </c>
      <c r="N34" s="28">
        <f t="shared" si="9"/>
        <v>45982</v>
      </c>
      <c r="O34" s="28">
        <f t="shared" si="9"/>
        <v>45989</v>
      </c>
      <c r="P34" s="28">
        <f t="shared" si="9"/>
        <v>45996</v>
      </c>
      <c r="Q34" s="28">
        <f t="shared" si="9"/>
        <v>46003</v>
      </c>
      <c r="R34" s="28">
        <f t="shared" si="9"/>
        <v>46010</v>
      </c>
      <c r="S34" s="28">
        <f t="shared" si="9"/>
        <v>46017</v>
      </c>
      <c r="T34" s="52">
        <f t="shared" si="9"/>
        <v>46024</v>
      </c>
      <c r="U34" s="52">
        <f t="shared" si="9"/>
        <v>46031</v>
      </c>
      <c r="V34" s="52">
        <f t="shared" si="9"/>
        <v>46038</v>
      </c>
      <c r="W34" s="52">
        <f t="shared" si="9"/>
        <v>46045</v>
      </c>
      <c r="X34" s="52">
        <f t="shared" si="9"/>
        <v>46052</v>
      </c>
      <c r="Y34" s="53"/>
    </row>
    <row r="35" spans="1:25" s="8" customFormat="1" ht="16.5" customHeight="1" thickTop="1" thickBot="1" x14ac:dyDescent="0.3">
      <c r="A35" s="188"/>
      <c r="B35" s="6" t="s">
        <v>11</v>
      </c>
      <c r="C35" s="16">
        <f t="shared" ref="C35:C40" si="10">AddOneDayToCellValue(C28)</f>
        <v>45905</v>
      </c>
      <c r="D35" s="16">
        <f t="shared" si="2"/>
        <v>45912</v>
      </c>
      <c r="E35" s="16">
        <f t="shared" si="9"/>
        <v>45919</v>
      </c>
      <c r="F35" s="16">
        <f t="shared" si="9"/>
        <v>45926</v>
      </c>
      <c r="G35" s="16">
        <f t="shared" si="9"/>
        <v>45933</v>
      </c>
      <c r="H35" s="16">
        <f t="shared" si="9"/>
        <v>45940</v>
      </c>
      <c r="I35" s="16">
        <f t="shared" si="9"/>
        <v>45947</v>
      </c>
      <c r="J35" s="16">
        <f t="shared" si="9"/>
        <v>45954</v>
      </c>
      <c r="K35" s="16">
        <f t="shared" si="9"/>
        <v>45961</v>
      </c>
      <c r="L35" s="16">
        <f t="shared" si="9"/>
        <v>45968</v>
      </c>
      <c r="M35" s="16">
        <f t="shared" si="9"/>
        <v>45975</v>
      </c>
      <c r="N35" s="16">
        <f t="shared" si="9"/>
        <v>45982</v>
      </c>
      <c r="O35" s="16">
        <f t="shared" si="9"/>
        <v>45989</v>
      </c>
      <c r="P35" s="16">
        <f t="shared" si="9"/>
        <v>45996</v>
      </c>
      <c r="Q35" s="16">
        <f t="shared" si="9"/>
        <v>46003</v>
      </c>
      <c r="R35" s="16">
        <f t="shared" si="9"/>
        <v>46010</v>
      </c>
      <c r="S35" s="16">
        <f t="shared" si="9"/>
        <v>46017</v>
      </c>
      <c r="T35" s="54">
        <f t="shared" si="9"/>
        <v>46024</v>
      </c>
      <c r="U35" s="54">
        <f t="shared" si="9"/>
        <v>46031</v>
      </c>
      <c r="V35" s="54">
        <f t="shared" si="9"/>
        <v>46038</v>
      </c>
      <c r="W35" s="54">
        <f t="shared" si="9"/>
        <v>46045</v>
      </c>
      <c r="X35" s="54">
        <f t="shared" si="9"/>
        <v>46052</v>
      </c>
      <c r="Y35" s="48"/>
    </row>
    <row r="36" spans="1:25" s="8" customFormat="1" ht="16.5" customHeight="1" thickTop="1" thickBot="1" x14ac:dyDescent="0.3">
      <c r="A36" s="188"/>
      <c r="B36" s="6" t="s">
        <v>12</v>
      </c>
      <c r="C36" s="29">
        <f t="shared" si="10"/>
        <v>45905</v>
      </c>
      <c r="D36" s="29">
        <f t="shared" si="2"/>
        <v>45912</v>
      </c>
      <c r="E36" s="29">
        <f t="shared" si="9"/>
        <v>45919</v>
      </c>
      <c r="F36" s="29">
        <f t="shared" si="9"/>
        <v>45926</v>
      </c>
      <c r="G36" s="29">
        <f t="shared" si="9"/>
        <v>45933</v>
      </c>
      <c r="H36" s="29">
        <f t="shared" si="9"/>
        <v>45940</v>
      </c>
      <c r="I36" s="29">
        <f t="shared" si="9"/>
        <v>45947</v>
      </c>
      <c r="J36" s="29">
        <f t="shared" si="9"/>
        <v>45954</v>
      </c>
      <c r="K36" s="29">
        <f t="shared" si="9"/>
        <v>45961</v>
      </c>
      <c r="L36" s="29">
        <f t="shared" si="9"/>
        <v>45968</v>
      </c>
      <c r="M36" s="29">
        <f t="shared" si="9"/>
        <v>45975</v>
      </c>
      <c r="N36" s="29">
        <f t="shared" si="9"/>
        <v>45982</v>
      </c>
      <c r="O36" s="29">
        <f t="shared" si="9"/>
        <v>45989</v>
      </c>
      <c r="P36" s="29">
        <f t="shared" si="9"/>
        <v>45996</v>
      </c>
      <c r="Q36" s="29">
        <f t="shared" si="9"/>
        <v>46003</v>
      </c>
      <c r="R36" s="29">
        <f t="shared" si="9"/>
        <v>46010</v>
      </c>
      <c r="S36" s="29">
        <f t="shared" si="9"/>
        <v>46017</v>
      </c>
      <c r="T36" s="47">
        <f t="shared" si="9"/>
        <v>46024</v>
      </c>
      <c r="U36" s="47">
        <f t="shared" si="9"/>
        <v>46031</v>
      </c>
      <c r="V36" s="47">
        <f t="shared" si="9"/>
        <v>46038</v>
      </c>
      <c r="W36" s="47">
        <f t="shared" si="9"/>
        <v>46045</v>
      </c>
      <c r="X36" s="47">
        <f t="shared" si="9"/>
        <v>46052</v>
      </c>
      <c r="Y36" s="48"/>
    </row>
    <row r="37" spans="1:25" s="8" customFormat="1" ht="16.5" customHeight="1" thickTop="1" thickBot="1" x14ac:dyDescent="0.3">
      <c r="A37" s="188"/>
      <c r="B37" s="6" t="s">
        <v>7</v>
      </c>
      <c r="C37" s="30">
        <f t="shared" si="10"/>
        <v>45905</v>
      </c>
      <c r="D37" s="30">
        <f t="shared" si="2"/>
        <v>45912</v>
      </c>
      <c r="E37" s="30">
        <f t="shared" si="9"/>
        <v>45919</v>
      </c>
      <c r="F37" s="30">
        <f t="shared" si="9"/>
        <v>45926</v>
      </c>
      <c r="G37" s="30">
        <f t="shared" si="9"/>
        <v>45933</v>
      </c>
      <c r="H37" s="30">
        <f t="shared" si="9"/>
        <v>45940</v>
      </c>
      <c r="I37" s="30">
        <f t="shared" si="9"/>
        <v>45947</v>
      </c>
      <c r="J37" s="30">
        <f t="shared" si="9"/>
        <v>45954</v>
      </c>
      <c r="K37" s="30">
        <f t="shared" si="9"/>
        <v>45961</v>
      </c>
      <c r="L37" s="30">
        <f t="shared" si="9"/>
        <v>45968</v>
      </c>
      <c r="M37" s="30">
        <f t="shared" si="9"/>
        <v>45975</v>
      </c>
      <c r="N37" s="30">
        <f t="shared" si="9"/>
        <v>45982</v>
      </c>
      <c r="O37" s="30">
        <f t="shared" si="9"/>
        <v>45989</v>
      </c>
      <c r="P37" s="30">
        <f t="shared" si="9"/>
        <v>45996</v>
      </c>
      <c r="Q37" s="30">
        <f t="shared" si="9"/>
        <v>46003</v>
      </c>
      <c r="R37" s="30">
        <f t="shared" si="9"/>
        <v>46010</v>
      </c>
      <c r="S37" s="30">
        <f t="shared" si="9"/>
        <v>46017</v>
      </c>
      <c r="T37" s="49">
        <f t="shared" si="9"/>
        <v>46024</v>
      </c>
      <c r="U37" s="49">
        <f t="shared" si="9"/>
        <v>46031</v>
      </c>
      <c r="V37" s="49">
        <f t="shared" si="9"/>
        <v>46038</v>
      </c>
      <c r="W37" s="49">
        <f t="shared" si="9"/>
        <v>46045</v>
      </c>
      <c r="X37" s="49">
        <f t="shared" si="9"/>
        <v>46052</v>
      </c>
      <c r="Y37" s="55"/>
    </row>
    <row r="38" spans="1:25" s="8" customFormat="1" ht="16.5" customHeight="1" thickTop="1" thickBot="1" x14ac:dyDescent="0.3">
      <c r="A38" s="188"/>
      <c r="B38" s="6" t="s">
        <v>8</v>
      </c>
      <c r="C38" s="30">
        <f t="shared" si="10"/>
        <v>45905</v>
      </c>
      <c r="D38" s="30">
        <f t="shared" si="2"/>
        <v>45912</v>
      </c>
      <c r="E38" s="30">
        <f t="shared" si="9"/>
        <v>45919</v>
      </c>
      <c r="F38" s="30">
        <f t="shared" si="9"/>
        <v>45926</v>
      </c>
      <c r="G38" s="30">
        <f t="shared" si="9"/>
        <v>45933</v>
      </c>
      <c r="H38" s="30">
        <f t="shared" si="9"/>
        <v>45940</v>
      </c>
      <c r="I38" s="30">
        <f t="shared" si="9"/>
        <v>45947</v>
      </c>
      <c r="J38" s="30">
        <f t="shared" si="9"/>
        <v>45954</v>
      </c>
      <c r="K38" s="30">
        <f t="shared" si="9"/>
        <v>45961</v>
      </c>
      <c r="L38" s="30">
        <f t="shared" si="9"/>
        <v>45968</v>
      </c>
      <c r="M38" s="30">
        <f t="shared" si="9"/>
        <v>45975</v>
      </c>
      <c r="N38" s="30">
        <f t="shared" si="9"/>
        <v>45982</v>
      </c>
      <c r="O38" s="30">
        <f t="shared" si="9"/>
        <v>45989</v>
      </c>
      <c r="P38" s="30">
        <f t="shared" si="9"/>
        <v>45996</v>
      </c>
      <c r="Q38" s="30">
        <f t="shared" si="9"/>
        <v>46003</v>
      </c>
      <c r="R38" s="30">
        <f t="shared" si="9"/>
        <v>46010</v>
      </c>
      <c r="S38" s="30">
        <f t="shared" si="9"/>
        <v>46017</v>
      </c>
      <c r="T38" s="49">
        <f t="shared" si="9"/>
        <v>46024</v>
      </c>
      <c r="U38" s="49">
        <f t="shared" si="9"/>
        <v>46031</v>
      </c>
      <c r="V38" s="49">
        <f t="shared" si="9"/>
        <v>46038</v>
      </c>
      <c r="W38" s="49">
        <f t="shared" si="9"/>
        <v>46045</v>
      </c>
      <c r="X38" s="49">
        <f t="shared" si="9"/>
        <v>46052</v>
      </c>
      <c r="Y38" s="48"/>
    </row>
    <row r="39" spans="1:25" s="8" customFormat="1" ht="16.5" customHeight="1" thickTop="1" thickBot="1" x14ac:dyDescent="0.3">
      <c r="A39" s="188"/>
      <c r="B39" s="59" t="s">
        <v>9</v>
      </c>
      <c r="C39" s="61">
        <f t="shared" si="10"/>
        <v>45905</v>
      </c>
      <c r="D39" s="30">
        <f t="shared" ref="D39" si="11">AddOneWeekToDateTime(C39)</f>
        <v>45912</v>
      </c>
      <c r="E39" s="30">
        <f t="shared" ref="E39" si="12">AddOneWeekToDateTime(D39)</f>
        <v>45919</v>
      </c>
      <c r="F39" s="30">
        <f t="shared" ref="F39" si="13">AddOneWeekToDateTime(E39)</f>
        <v>45926</v>
      </c>
      <c r="G39" s="30">
        <f t="shared" ref="G39" si="14">AddOneWeekToDateTime(F39)</f>
        <v>45933</v>
      </c>
      <c r="H39" s="30">
        <f t="shared" ref="H39" si="15">AddOneWeekToDateTime(G39)</f>
        <v>45940</v>
      </c>
      <c r="I39" s="30">
        <f t="shared" ref="I39" si="16">AddOneWeekToDateTime(H39)</f>
        <v>45947</v>
      </c>
      <c r="J39" s="30">
        <f t="shared" ref="J39" si="17">AddOneWeekToDateTime(I39)</f>
        <v>45954</v>
      </c>
      <c r="K39" s="30">
        <f t="shared" ref="K39" si="18">AddOneWeekToDateTime(J39)</f>
        <v>45961</v>
      </c>
      <c r="L39" s="30">
        <f t="shared" ref="L39" si="19">AddOneWeekToDateTime(K39)</f>
        <v>45968</v>
      </c>
      <c r="M39" s="30">
        <f t="shared" ref="M39" si="20">AddOneWeekToDateTime(L39)</f>
        <v>45975</v>
      </c>
      <c r="N39" s="30">
        <f t="shared" ref="N39" si="21">AddOneWeekToDateTime(M39)</f>
        <v>45982</v>
      </c>
      <c r="O39" s="30">
        <f t="shared" ref="O39" si="22">AddOneWeekToDateTime(N39)</f>
        <v>45989</v>
      </c>
      <c r="P39" s="30">
        <f t="shared" ref="P39" si="23">AddOneWeekToDateTime(O39)</f>
        <v>45996</v>
      </c>
      <c r="Q39" s="30">
        <f t="shared" ref="Q39" si="24">AddOneWeekToDateTime(P39)</f>
        <v>46003</v>
      </c>
      <c r="R39" s="30">
        <f t="shared" ref="R39" si="25">AddOneWeekToDateTime(Q39)</f>
        <v>46010</v>
      </c>
      <c r="S39" s="30">
        <f t="shared" ref="S39" si="26">AddOneWeekToDateTime(R39)</f>
        <v>46017</v>
      </c>
      <c r="T39" s="49">
        <f t="shared" ref="T39" si="27">AddOneWeekToDateTime(S39)</f>
        <v>46024</v>
      </c>
      <c r="U39" s="49">
        <f t="shared" ref="U39" si="28">AddOneWeekToDateTime(T39)</f>
        <v>46031</v>
      </c>
      <c r="V39" s="49">
        <f t="shared" ref="V39" si="29">AddOneWeekToDateTime(U39)</f>
        <v>46038</v>
      </c>
      <c r="W39" s="49">
        <f t="shared" ref="W39" si="30">AddOneWeekToDateTime(V39)</f>
        <v>46045</v>
      </c>
      <c r="X39" s="49">
        <f t="shared" ref="X39" si="31">AddOneWeekToDateTime(W39)</f>
        <v>46052</v>
      </c>
      <c r="Y39" s="63"/>
    </row>
    <row r="40" spans="1:25" ht="16.5" customHeight="1" thickTop="1" thickBot="1" x14ac:dyDescent="0.3">
      <c r="A40" s="188"/>
      <c r="B40" s="7" t="s">
        <v>14</v>
      </c>
      <c r="C40" s="43">
        <f t="shared" si="10"/>
        <v>45905</v>
      </c>
      <c r="D40" s="31">
        <f t="shared" si="2"/>
        <v>45912</v>
      </c>
      <c r="E40" s="31">
        <f t="shared" si="9"/>
        <v>45919</v>
      </c>
      <c r="F40" s="31">
        <f t="shared" si="9"/>
        <v>45926</v>
      </c>
      <c r="G40" s="31">
        <f t="shared" si="9"/>
        <v>45933</v>
      </c>
      <c r="H40" s="31">
        <f t="shared" si="9"/>
        <v>45940</v>
      </c>
      <c r="I40" s="31">
        <f t="shared" si="9"/>
        <v>45947</v>
      </c>
      <c r="J40" s="31">
        <f t="shared" si="9"/>
        <v>45954</v>
      </c>
      <c r="K40" s="31">
        <f t="shared" si="9"/>
        <v>45961</v>
      </c>
      <c r="L40" s="31">
        <f t="shared" si="9"/>
        <v>45968</v>
      </c>
      <c r="M40" s="31">
        <f t="shared" si="9"/>
        <v>45975</v>
      </c>
      <c r="N40" s="31">
        <f t="shared" si="9"/>
        <v>45982</v>
      </c>
      <c r="O40" s="31">
        <f t="shared" si="9"/>
        <v>45989</v>
      </c>
      <c r="P40" s="31">
        <f t="shared" si="9"/>
        <v>45996</v>
      </c>
      <c r="Q40" s="31">
        <f t="shared" si="9"/>
        <v>46003</v>
      </c>
      <c r="R40" s="31">
        <f t="shared" si="9"/>
        <v>46010</v>
      </c>
      <c r="S40" s="31">
        <f t="shared" si="9"/>
        <v>46017</v>
      </c>
      <c r="T40" s="57">
        <f t="shared" si="9"/>
        <v>46024</v>
      </c>
      <c r="U40" s="57">
        <f t="shared" si="9"/>
        <v>46031</v>
      </c>
      <c r="V40" s="57">
        <f t="shared" si="9"/>
        <v>46038</v>
      </c>
      <c r="W40" s="57">
        <f t="shared" si="9"/>
        <v>46045</v>
      </c>
      <c r="X40" s="57">
        <f t="shared" si="9"/>
        <v>46052</v>
      </c>
      <c r="Y40" s="58"/>
    </row>
    <row r="41" spans="1:25" ht="16.5" customHeight="1" thickTop="1" thickBot="1" x14ac:dyDescent="0.3">
      <c r="A41" s="188" t="s">
        <v>24</v>
      </c>
      <c r="B41" s="38" t="s">
        <v>10</v>
      </c>
      <c r="C41" s="38">
        <f>AddOneDayToCellValue(C34)</f>
        <v>45906</v>
      </c>
      <c r="D41" s="38">
        <f t="shared" si="2"/>
        <v>45913</v>
      </c>
      <c r="E41" s="28">
        <f t="shared" si="9"/>
        <v>45920</v>
      </c>
      <c r="F41" s="28">
        <f t="shared" si="9"/>
        <v>45927</v>
      </c>
      <c r="G41" s="28">
        <f t="shared" si="9"/>
        <v>45934</v>
      </c>
      <c r="H41" s="28">
        <f t="shared" si="9"/>
        <v>45941</v>
      </c>
      <c r="I41" s="28">
        <f t="shared" si="9"/>
        <v>45948</v>
      </c>
      <c r="J41" s="28">
        <f t="shared" si="9"/>
        <v>45955</v>
      </c>
      <c r="K41" s="28">
        <f t="shared" si="9"/>
        <v>45962</v>
      </c>
      <c r="L41" s="28">
        <f t="shared" si="9"/>
        <v>45969</v>
      </c>
      <c r="M41" s="28">
        <f t="shared" si="9"/>
        <v>45976</v>
      </c>
      <c r="N41" s="28">
        <f t="shared" si="9"/>
        <v>45983</v>
      </c>
      <c r="O41" s="28">
        <f t="shared" si="9"/>
        <v>45990</v>
      </c>
      <c r="P41" s="28">
        <f t="shared" si="9"/>
        <v>45997</v>
      </c>
      <c r="Q41" s="28">
        <f t="shared" si="9"/>
        <v>46004</v>
      </c>
      <c r="R41" s="28">
        <f t="shared" si="9"/>
        <v>46011</v>
      </c>
      <c r="S41" s="28">
        <f t="shared" si="9"/>
        <v>46018</v>
      </c>
      <c r="T41" s="52">
        <f t="shared" si="9"/>
        <v>46025</v>
      </c>
      <c r="U41" s="52">
        <f t="shared" si="9"/>
        <v>46032</v>
      </c>
      <c r="V41" s="52">
        <f t="shared" si="9"/>
        <v>46039</v>
      </c>
      <c r="W41" s="52">
        <f t="shared" si="9"/>
        <v>46046</v>
      </c>
      <c r="X41" s="52">
        <f t="shared" si="9"/>
        <v>46053</v>
      </c>
      <c r="Y41" s="52"/>
    </row>
    <row r="42" spans="1:25" ht="16.5" customHeight="1" thickTop="1" thickBot="1" x14ac:dyDescent="0.3">
      <c r="A42" s="188"/>
      <c r="B42" s="39" t="s">
        <v>11</v>
      </c>
      <c r="C42" s="39">
        <f t="shared" ref="C42:C47" si="32">AddOneDayToCellValue(C35)</f>
        <v>45906</v>
      </c>
      <c r="D42" s="39">
        <f t="shared" ref="D42:D47" si="33">AddOneWeekToDateTime(C42)</f>
        <v>45913</v>
      </c>
      <c r="E42" s="16">
        <f t="shared" si="9"/>
        <v>45920</v>
      </c>
      <c r="F42" s="16">
        <f t="shared" si="9"/>
        <v>45927</v>
      </c>
      <c r="G42" s="16">
        <f t="shared" si="9"/>
        <v>45934</v>
      </c>
      <c r="H42" s="16">
        <f t="shared" si="9"/>
        <v>45941</v>
      </c>
      <c r="I42" s="16">
        <f t="shared" si="9"/>
        <v>45948</v>
      </c>
      <c r="J42" s="16">
        <f t="shared" si="9"/>
        <v>45955</v>
      </c>
      <c r="K42" s="16">
        <f t="shared" si="9"/>
        <v>45962</v>
      </c>
      <c r="L42" s="16">
        <f t="shared" si="9"/>
        <v>45969</v>
      </c>
      <c r="M42" s="16">
        <f t="shared" si="9"/>
        <v>45976</v>
      </c>
      <c r="N42" s="16">
        <f t="shared" si="9"/>
        <v>45983</v>
      </c>
      <c r="O42" s="16">
        <f t="shared" si="9"/>
        <v>45990</v>
      </c>
      <c r="P42" s="16">
        <f t="shared" si="9"/>
        <v>45997</v>
      </c>
      <c r="Q42" s="16">
        <f t="shared" si="9"/>
        <v>46004</v>
      </c>
      <c r="R42" s="16">
        <f t="shared" si="9"/>
        <v>46011</v>
      </c>
      <c r="S42" s="16">
        <f t="shared" si="9"/>
        <v>46018</v>
      </c>
      <c r="T42" s="54">
        <f t="shared" si="9"/>
        <v>46025</v>
      </c>
      <c r="U42" s="54">
        <f t="shared" si="9"/>
        <v>46032</v>
      </c>
      <c r="V42" s="54">
        <f t="shared" si="9"/>
        <v>46039</v>
      </c>
      <c r="W42" s="54">
        <f t="shared" si="9"/>
        <v>46046</v>
      </c>
      <c r="X42" s="54">
        <f t="shared" si="9"/>
        <v>46053</v>
      </c>
      <c r="Y42" s="54"/>
    </row>
    <row r="43" spans="1:25" ht="16.5" customHeight="1" thickTop="1" thickBot="1" x14ac:dyDescent="0.3">
      <c r="A43" s="188"/>
      <c r="B43" s="40" t="s">
        <v>12</v>
      </c>
      <c r="C43" s="40">
        <f t="shared" si="32"/>
        <v>45906</v>
      </c>
      <c r="D43" s="40">
        <f t="shared" si="33"/>
        <v>45913</v>
      </c>
      <c r="E43" s="29">
        <f t="shared" si="9"/>
        <v>45920</v>
      </c>
      <c r="F43" s="29">
        <f t="shared" si="9"/>
        <v>45927</v>
      </c>
      <c r="G43" s="29">
        <f t="shared" si="9"/>
        <v>45934</v>
      </c>
      <c r="H43" s="29">
        <f t="shared" si="9"/>
        <v>45941</v>
      </c>
      <c r="I43" s="29">
        <f t="shared" si="9"/>
        <v>45948</v>
      </c>
      <c r="J43" s="29">
        <f t="shared" si="9"/>
        <v>45955</v>
      </c>
      <c r="K43" s="29">
        <f t="shared" si="9"/>
        <v>45962</v>
      </c>
      <c r="L43" s="29">
        <f t="shared" si="9"/>
        <v>45969</v>
      </c>
      <c r="M43" s="29">
        <f t="shared" si="9"/>
        <v>45976</v>
      </c>
      <c r="N43" s="29">
        <f t="shared" si="9"/>
        <v>45983</v>
      </c>
      <c r="O43" s="29">
        <f t="shared" si="9"/>
        <v>45990</v>
      </c>
      <c r="P43" s="29">
        <f t="shared" si="9"/>
        <v>45997</v>
      </c>
      <c r="Q43" s="29">
        <f t="shared" si="9"/>
        <v>46004</v>
      </c>
      <c r="R43" s="29">
        <f t="shared" si="9"/>
        <v>46011</v>
      </c>
      <c r="S43" s="29">
        <f t="shared" si="9"/>
        <v>46018</v>
      </c>
      <c r="T43" s="47">
        <f t="shared" si="9"/>
        <v>46025</v>
      </c>
      <c r="U43" s="47">
        <f t="shared" si="9"/>
        <v>46032</v>
      </c>
      <c r="V43" s="47">
        <f t="shared" si="9"/>
        <v>46039</v>
      </c>
      <c r="W43" s="47">
        <f t="shared" si="9"/>
        <v>46046</v>
      </c>
      <c r="X43" s="47">
        <f t="shared" si="9"/>
        <v>46053</v>
      </c>
      <c r="Y43" s="47"/>
    </row>
    <row r="44" spans="1:25" ht="16.5" customHeight="1" thickTop="1" thickBot="1" x14ac:dyDescent="0.3">
      <c r="A44" s="188"/>
      <c r="B44" s="41" t="s">
        <v>7</v>
      </c>
      <c r="C44" s="41">
        <f t="shared" si="32"/>
        <v>45906</v>
      </c>
      <c r="D44" s="41">
        <f t="shared" si="33"/>
        <v>45913</v>
      </c>
      <c r="E44" s="30">
        <f t="shared" si="9"/>
        <v>45920</v>
      </c>
      <c r="F44" s="30">
        <f t="shared" si="9"/>
        <v>45927</v>
      </c>
      <c r="G44" s="30">
        <f t="shared" si="9"/>
        <v>45934</v>
      </c>
      <c r="H44" s="30">
        <f t="shared" si="9"/>
        <v>45941</v>
      </c>
      <c r="I44" s="30">
        <f t="shared" si="9"/>
        <v>45948</v>
      </c>
      <c r="J44" s="30">
        <f t="shared" si="9"/>
        <v>45955</v>
      </c>
      <c r="K44" s="30">
        <f t="shared" si="9"/>
        <v>45962</v>
      </c>
      <c r="L44" s="30">
        <f t="shared" si="9"/>
        <v>45969</v>
      </c>
      <c r="M44" s="30">
        <f t="shared" si="9"/>
        <v>45976</v>
      </c>
      <c r="N44" s="30">
        <f t="shared" si="9"/>
        <v>45983</v>
      </c>
      <c r="O44" s="30">
        <f t="shared" si="9"/>
        <v>45990</v>
      </c>
      <c r="P44" s="30">
        <f t="shared" si="9"/>
        <v>45997</v>
      </c>
      <c r="Q44" s="30">
        <f t="shared" si="9"/>
        <v>46004</v>
      </c>
      <c r="R44" s="30">
        <f t="shared" si="9"/>
        <v>46011</v>
      </c>
      <c r="S44" s="30">
        <f t="shared" si="9"/>
        <v>46018</v>
      </c>
      <c r="T44" s="49">
        <f t="shared" si="9"/>
        <v>46025</v>
      </c>
      <c r="U44" s="49">
        <f t="shared" si="9"/>
        <v>46032</v>
      </c>
      <c r="V44" s="49">
        <f t="shared" si="9"/>
        <v>46039</v>
      </c>
      <c r="W44" s="49">
        <f t="shared" si="9"/>
        <v>46046</v>
      </c>
      <c r="X44" s="49">
        <f t="shared" si="9"/>
        <v>46053</v>
      </c>
      <c r="Y44" s="49"/>
    </row>
    <row r="45" spans="1:25" ht="16.5" customHeight="1" thickTop="1" thickBot="1" x14ac:dyDescent="0.3">
      <c r="A45" s="188"/>
      <c r="B45" s="41" t="s">
        <v>8</v>
      </c>
      <c r="C45" s="41">
        <f t="shared" si="32"/>
        <v>45906</v>
      </c>
      <c r="D45" s="41">
        <f t="shared" si="33"/>
        <v>45913</v>
      </c>
      <c r="E45" s="30">
        <f t="shared" si="9"/>
        <v>45920</v>
      </c>
      <c r="F45" s="30">
        <f t="shared" si="9"/>
        <v>45927</v>
      </c>
      <c r="G45" s="30">
        <f t="shared" si="9"/>
        <v>45934</v>
      </c>
      <c r="H45" s="30">
        <f t="shared" si="9"/>
        <v>45941</v>
      </c>
      <c r="I45" s="30">
        <f t="shared" si="9"/>
        <v>45948</v>
      </c>
      <c r="J45" s="30">
        <f t="shared" si="9"/>
        <v>45955</v>
      </c>
      <c r="K45" s="30">
        <f t="shared" si="9"/>
        <v>45962</v>
      </c>
      <c r="L45" s="30">
        <f t="shared" si="9"/>
        <v>45969</v>
      </c>
      <c r="M45" s="30">
        <f t="shared" si="9"/>
        <v>45976</v>
      </c>
      <c r="N45" s="30">
        <f t="shared" si="9"/>
        <v>45983</v>
      </c>
      <c r="O45" s="30">
        <f t="shared" si="9"/>
        <v>45990</v>
      </c>
      <c r="P45" s="30">
        <f t="shared" si="9"/>
        <v>45997</v>
      </c>
      <c r="Q45" s="30">
        <f t="shared" si="9"/>
        <v>46004</v>
      </c>
      <c r="R45" s="30">
        <f t="shared" si="9"/>
        <v>46011</v>
      </c>
      <c r="S45" s="30">
        <f t="shared" si="9"/>
        <v>46018</v>
      </c>
      <c r="T45" s="49">
        <f t="shared" si="9"/>
        <v>46025</v>
      </c>
      <c r="U45" s="49">
        <f t="shared" si="9"/>
        <v>46032</v>
      </c>
      <c r="V45" s="49">
        <f t="shared" si="9"/>
        <v>46039</v>
      </c>
      <c r="W45" s="49">
        <f t="shared" si="9"/>
        <v>46046</v>
      </c>
      <c r="X45" s="49">
        <f t="shared" si="9"/>
        <v>46053</v>
      </c>
      <c r="Y45" s="49"/>
    </row>
    <row r="46" spans="1:25" ht="16.5" customHeight="1" thickTop="1" thickBot="1" x14ac:dyDescent="0.3">
      <c r="A46" s="188"/>
      <c r="B46" s="64" t="s">
        <v>9</v>
      </c>
      <c r="C46" s="64">
        <f t="shared" si="32"/>
        <v>45906</v>
      </c>
      <c r="D46" s="41">
        <f t="shared" ref="D46" si="34">AddOneWeekToDateTime(C46)</f>
        <v>45913</v>
      </c>
      <c r="E46" s="30">
        <f t="shared" ref="E46" si="35">AddOneWeekToDateTime(D46)</f>
        <v>45920</v>
      </c>
      <c r="F46" s="30">
        <f t="shared" ref="F46" si="36">AddOneWeekToDateTime(E46)</f>
        <v>45927</v>
      </c>
      <c r="G46" s="30">
        <f t="shared" ref="G46" si="37">AddOneWeekToDateTime(F46)</f>
        <v>45934</v>
      </c>
      <c r="H46" s="30">
        <f t="shared" ref="H46" si="38">AddOneWeekToDateTime(G46)</f>
        <v>45941</v>
      </c>
      <c r="I46" s="30">
        <f t="shared" ref="I46" si="39">AddOneWeekToDateTime(H46)</f>
        <v>45948</v>
      </c>
      <c r="J46" s="30">
        <f t="shared" ref="J46" si="40">AddOneWeekToDateTime(I46)</f>
        <v>45955</v>
      </c>
      <c r="K46" s="30">
        <f t="shared" ref="K46" si="41">AddOneWeekToDateTime(J46)</f>
        <v>45962</v>
      </c>
      <c r="L46" s="30">
        <f t="shared" ref="L46" si="42">AddOneWeekToDateTime(K46)</f>
        <v>45969</v>
      </c>
      <c r="M46" s="30">
        <f t="shared" ref="M46" si="43">AddOneWeekToDateTime(L46)</f>
        <v>45976</v>
      </c>
      <c r="N46" s="30">
        <f t="shared" ref="N46" si="44">AddOneWeekToDateTime(M46)</f>
        <v>45983</v>
      </c>
      <c r="O46" s="30">
        <f t="shared" ref="O46" si="45">AddOneWeekToDateTime(N46)</f>
        <v>45990</v>
      </c>
      <c r="P46" s="30">
        <f t="shared" ref="P46" si="46">AddOneWeekToDateTime(O46)</f>
        <v>45997</v>
      </c>
      <c r="Q46" s="30">
        <f t="shared" ref="Q46" si="47">AddOneWeekToDateTime(P46)</f>
        <v>46004</v>
      </c>
      <c r="R46" s="30">
        <f t="shared" ref="R46" si="48">AddOneWeekToDateTime(Q46)</f>
        <v>46011</v>
      </c>
      <c r="S46" s="30">
        <f t="shared" ref="S46" si="49">AddOneWeekToDateTime(R46)</f>
        <v>46018</v>
      </c>
      <c r="T46" s="49">
        <f t="shared" ref="T46" si="50">AddOneWeekToDateTime(S46)</f>
        <v>46025</v>
      </c>
      <c r="U46" s="49">
        <f t="shared" ref="U46" si="51">AddOneWeekToDateTime(T46)</f>
        <v>46032</v>
      </c>
      <c r="V46" s="49">
        <f t="shared" ref="V46" si="52">AddOneWeekToDateTime(U46)</f>
        <v>46039</v>
      </c>
      <c r="W46" s="49">
        <f t="shared" ref="W46" si="53">AddOneWeekToDateTime(V46)</f>
        <v>46046</v>
      </c>
      <c r="X46" s="49">
        <f t="shared" ref="X46" si="54">AddOneWeekToDateTime(W46)</f>
        <v>46053</v>
      </c>
      <c r="Y46" s="62"/>
    </row>
    <row r="47" spans="1:25" ht="16.5" customHeight="1" thickTop="1" thickBot="1" x14ac:dyDescent="0.3">
      <c r="A47" s="188"/>
      <c r="B47" s="7" t="s">
        <v>14</v>
      </c>
      <c r="C47" s="42">
        <f t="shared" si="32"/>
        <v>45906</v>
      </c>
      <c r="D47" s="42">
        <f t="shared" si="33"/>
        <v>45913</v>
      </c>
      <c r="E47" s="31">
        <f t="shared" si="9"/>
        <v>45920</v>
      </c>
      <c r="F47" s="31">
        <f t="shared" si="9"/>
        <v>45927</v>
      </c>
      <c r="G47" s="31">
        <f t="shared" si="9"/>
        <v>45934</v>
      </c>
      <c r="H47" s="31">
        <f t="shared" si="9"/>
        <v>45941</v>
      </c>
      <c r="I47" s="31">
        <f t="shared" si="9"/>
        <v>45948</v>
      </c>
      <c r="J47" s="31">
        <f t="shared" si="9"/>
        <v>45955</v>
      </c>
      <c r="K47" s="31">
        <f t="shared" si="9"/>
        <v>45962</v>
      </c>
      <c r="L47" s="31">
        <f t="shared" si="9"/>
        <v>45969</v>
      </c>
      <c r="M47" s="31">
        <f t="shared" si="9"/>
        <v>45976</v>
      </c>
      <c r="N47" s="31">
        <f t="shared" si="9"/>
        <v>45983</v>
      </c>
      <c r="O47" s="31">
        <f t="shared" si="9"/>
        <v>45990</v>
      </c>
      <c r="P47" s="31">
        <f t="shared" si="9"/>
        <v>45997</v>
      </c>
      <c r="Q47" s="31">
        <f t="shared" si="9"/>
        <v>46004</v>
      </c>
      <c r="R47" s="31">
        <f t="shared" si="9"/>
        <v>46011</v>
      </c>
      <c r="S47" s="31">
        <f t="shared" si="9"/>
        <v>46018</v>
      </c>
      <c r="T47" s="57">
        <f t="shared" si="9"/>
        <v>46025</v>
      </c>
      <c r="U47" s="57">
        <f t="shared" si="9"/>
        <v>46032</v>
      </c>
      <c r="V47" s="57">
        <f t="shared" si="9"/>
        <v>46039</v>
      </c>
      <c r="W47" s="57">
        <f t="shared" si="9"/>
        <v>46046</v>
      </c>
      <c r="X47" s="57">
        <f t="shared" si="9"/>
        <v>46053</v>
      </c>
      <c r="Y47" s="57"/>
    </row>
    <row r="48" spans="1:25" ht="15.75" thickTop="1" x14ac:dyDescent="0.25"/>
    <row r="49" spans="1:5" x14ac:dyDescent="0.25">
      <c r="A49" t="s">
        <v>42</v>
      </c>
      <c r="B49" s="122" t="s">
        <v>43</v>
      </c>
      <c r="E49" s="15"/>
    </row>
    <row r="50" spans="1:5" x14ac:dyDescent="0.25">
      <c r="A50" s="123"/>
      <c r="B50" s="124"/>
      <c r="E50" s="15"/>
    </row>
    <row r="51" spans="1:5" x14ac:dyDescent="0.25">
      <c r="A51" s="126"/>
      <c r="B51" s="127"/>
      <c r="C51" t="e">
        <f>TEXT(C41,"DD/MM/YY")</f>
        <v>#VALUE!</v>
      </c>
      <c r="E51" s="15"/>
    </row>
    <row r="52" spans="1:5" x14ac:dyDescent="0.25">
      <c r="A52" s="126"/>
      <c r="B52" s="127"/>
      <c r="E52" s="15"/>
    </row>
    <row r="53" spans="1:5" x14ac:dyDescent="0.25">
      <c r="A53" s="126"/>
      <c r="B53" s="127"/>
      <c r="E53" s="15"/>
    </row>
    <row r="54" spans="1:5" x14ac:dyDescent="0.25">
      <c r="A54" s="126"/>
      <c r="B54" s="127"/>
      <c r="E54" s="15"/>
    </row>
    <row r="55" spans="1:5" x14ac:dyDescent="0.25">
      <c r="A55" s="128"/>
      <c r="B55" s="129"/>
      <c r="E55" s="15"/>
    </row>
    <row r="56" spans="1:5" x14ac:dyDescent="0.25">
      <c r="A56" s="128"/>
      <c r="B56" s="129"/>
      <c r="E56" s="15"/>
    </row>
    <row r="57" spans="1:5" x14ac:dyDescent="0.25">
      <c r="A57" s="128"/>
      <c r="B57" s="129"/>
      <c r="E57" s="15"/>
    </row>
    <row r="58" spans="1:5" x14ac:dyDescent="0.25">
      <c r="A58" s="128"/>
      <c r="B58" s="129"/>
    </row>
    <row r="59" spans="1:5" x14ac:dyDescent="0.25">
      <c r="A59" s="128"/>
      <c r="B59" s="129"/>
    </row>
    <row r="60" spans="1:5" x14ac:dyDescent="0.25">
      <c r="A60" s="128"/>
      <c r="B60" s="129"/>
    </row>
    <row r="61" spans="1:5" x14ac:dyDescent="0.25">
      <c r="A61" s="128"/>
      <c r="B61" s="129"/>
    </row>
    <row r="62" spans="1:5" x14ac:dyDescent="0.25">
      <c r="A62" s="128"/>
      <c r="B62" s="129"/>
    </row>
    <row r="63" spans="1:5" x14ac:dyDescent="0.25">
      <c r="A63" s="128"/>
      <c r="B63" s="129"/>
    </row>
    <row r="64" spans="1:5" x14ac:dyDescent="0.25">
      <c r="A64" s="128"/>
      <c r="B64" s="129"/>
    </row>
    <row r="65" spans="1:2" x14ac:dyDescent="0.25">
      <c r="A65" s="128"/>
      <c r="B65" s="129"/>
    </row>
    <row r="66" spans="1:2" x14ac:dyDescent="0.25">
      <c r="A66" s="128"/>
      <c r="B66" s="129"/>
    </row>
    <row r="67" spans="1:2" x14ac:dyDescent="0.25">
      <c r="A67" s="128"/>
      <c r="B67" s="129"/>
    </row>
    <row r="68" spans="1:2" x14ac:dyDescent="0.25">
      <c r="A68" s="128"/>
      <c r="B68" s="129"/>
    </row>
    <row r="69" spans="1:2" x14ac:dyDescent="0.25">
      <c r="A69" s="128"/>
      <c r="B69" s="129"/>
    </row>
    <row r="70" spans="1:2" x14ac:dyDescent="0.25">
      <c r="A70" s="130"/>
      <c r="B70" s="131"/>
    </row>
  </sheetData>
  <mergeCells count="8">
    <mergeCell ref="A41:A47"/>
    <mergeCell ref="A34:A40"/>
    <mergeCell ref="A1:I3"/>
    <mergeCell ref="A4:B4"/>
    <mergeCell ref="A6:A12"/>
    <mergeCell ref="A13:A19"/>
    <mergeCell ref="A20:A26"/>
    <mergeCell ref="A27:A33"/>
  </mergeCells>
  <phoneticPr fontId="13" type="noConversion"/>
  <conditionalFormatting sqref="D6:Y6">
    <cfRule type="containsText" dxfId="281" priority="24" operator="containsText" text=" Анікєєв">
      <formula>NOT(ISERROR(SEARCH(" Анікєєв",D6)))</formula>
    </cfRule>
  </conditionalFormatting>
  <conditionalFormatting sqref="D7:X7">
    <cfRule type="containsText" dxfId="280" priority="23" operator="containsText" text=" Анікєєв">
      <formula>NOT(ISERROR(SEARCH(" Анікєєв",D7)))</formula>
    </cfRule>
  </conditionalFormatting>
  <conditionalFormatting sqref="D8:X8">
    <cfRule type="containsText" dxfId="279" priority="22" operator="containsText" text=" Анікєєв">
      <formula>NOT(ISERROR(SEARCH(" Анікєєв",D8)))</formula>
    </cfRule>
  </conditionalFormatting>
  <conditionalFormatting sqref="D9:X9">
    <cfRule type="containsText" dxfId="278" priority="21" operator="containsText" text=" Анікєєв">
      <formula>NOT(ISERROR(SEARCH(" Анікєєв",D9)))</formula>
    </cfRule>
  </conditionalFormatting>
  <conditionalFormatting sqref="D10:X11">
    <cfRule type="containsText" dxfId="277" priority="20" operator="containsText" text=" Анікєєв">
      <formula>NOT(ISERROR(SEARCH(" Анікєєв",D10)))</formula>
    </cfRule>
  </conditionalFormatting>
  <conditionalFormatting sqref="D12:X12">
    <cfRule type="containsText" dxfId="276" priority="19" operator="containsText" text=" Анікєєв">
      <formula>NOT(ISERROR(SEARCH(" Анікєєв",D12)))</formula>
    </cfRule>
  </conditionalFormatting>
  <conditionalFormatting sqref="D13:X19">
    <cfRule type="containsText" dxfId="275" priority="18" operator="containsText" text=" Анікєєв">
      <formula>NOT(ISERROR(SEARCH(" Анікєєв",D13)))</formula>
    </cfRule>
  </conditionalFormatting>
  <conditionalFormatting sqref="D20:X25">
    <cfRule type="containsText" dxfId="274" priority="17" operator="containsText" text=" Анікєєв">
      <formula>NOT(ISERROR(SEARCH(" Анікєєв",D20)))</formula>
    </cfRule>
  </conditionalFormatting>
  <conditionalFormatting sqref="D27:X32">
    <cfRule type="containsText" dxfId="273" priority="16" operator="containsText" text=" Анікєєв">
      <formula>NOT(ISERROR(SEARCH(" Анікєєв",D27)))</formula>
    </cfRule>
  </conditionalFormatting>
  <conditionalFormatting sqref="D34:X34">
    <cfRule type="containsText" dxfId="272" priority="15" operator="containsText" text=" Анікєєв">
      <formula>NOT(ISERROR(SEARCH(" Анікєєв",D34)))</formula>
    </cfRule>
  </conditionalFormatting>
  <conditionalFormatting sqref="D33:X33">
    <cfRule type="containsText" dxfId="271" priority="14" operator="containsText" text=" Анікєєв">
      <formula>NOT(ISERROR(SEARCH(" Анікєєв",D33)))</formula>
    </cfRule>
  </conditionalFormatting>
  <conditionalFormatting sqref="C34:C40">
    <cfRule type="containsText" dxfId="270" priority="2" operator="containsText" text=" Анікєєв">
      <formula>NOT(ISERROR(SEARCH(" Анікєєв",C34)))</formula>
    </cfRule>
  </conditionalFormatting>
  <conditionalFormatting sqref="B41:Y41">
    <cfRule type="containsText" dxfId="269" priority="1" operator="containsText" text=" Анікєєв">
      <formula>NOT(ISERROR(SEARCH(" Анікєєв",B41)))</formula>
    </cfRule>
  </conditionalFormatting>
  <pageMargins left="0.70866141732283472" right="0.70866141732283472" top="0.74803149606299213" bottom="0.74803149606299213" header="0.31496062992125984" footer="0.31496062992125984"/>
  <pageSetup paperSize="9" scale="5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ableMaker">
                <anchor moveWithCells="1" sizeWithCells="1">
                  <from>
                    <xdr:col>0</xdr:col>
                    <xdr:colOff>952500</xdr:colOff>
                    <xdr:row>0</xdr:row>
                    <xdr:rowOff>57150</xdr:rowOff>
                  </from>
                  <to>
                    <xdr:col>3</xdr:col>
                    <xdr:colOff>704850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>
    <pageSetUpPr fitToPage="1"/>
  </sheetPr>
  <dimension ref="A1:Y67"/>
  <sheetViews>
    <sheetView tabSelected="1" zoomScale="107" zoomScaleNormal="107" workbookViewId="0">
      <pane xSplit="6" ySplit="5" topLeftCell="G30" activePane="bottomRight" state="frozenSplit"/>
      <selection pane="topRight" activeCell="L1" sqref="L1"/>
      <selection pane="bottomLeft" activeCell="A9" sqref="A9"/>
      <selection pane="bottomRight" activeCell="H63" sqref="H63"/>
    </sheetView>
  </sheetViews>
  <sheetFormatPr defaultRowHeight="15" x14ac:dyDescent="0.25"/>
  <cols>
    <col min="1" max="1" width="23.7109375" customWidth="1"/>
    <col min="2" max="2" width="11.85546875" customWidth="1"/>
    <col min="3" max="5" width="45.7109375" hidden="1" customWidth="1"/>
    <col min="6" max="6" width="28.42578125" hidden="1" customWidth="1"/>
    <col min="7" max="9" width="28.42578125" bestFit="1" customWidth="1"/>
    <col min="10" max="10" width="27.85546875" customWidth="1"/>
    <col min="11" max="11" width="28.42578125" bestFit="1" customWidth="1"/>
    <col min="12" max="14" width="27.5703125" customWidth="1"/>
    <col min="15" max="16" width="27.5703125" bestFit="1" customWidth="1"/>
    <col min="17" max="17" width="28.42578125" customWidth="1"/>
    <col min="18" max="21" width="27.5703125" bestFit="1" customWidth="1"/>
    <col min="22" max="22" width="25" customWidth="1"/>
    <col min="23" max="23" width="25" bestFit="1" customWidth="1"/>
    <col min="24" max="24" width="25" customWidth="1"/>
    <col min="25" max="25" width="25" bestFit="1" customWidth="1"/>
  </cols>
  <sheetData>
    <row r="1" spans="1:25" ht="15" customHeight="1" x14ac:dyDescent="0.25">
      <c r="A1" s="189"/>
      <c r="B1" s="189"/>
      <c r="C1" s="189"/>
      <c r="D1" s="189"/>
      <c r="E1" s="189"/>
      <c r="F1" s="189"/>
      <c r="G1" s="189"/>
      <c r="H1" s="189"/>
      <c r="I1" s="189"/>
      <c r="J1" s="9"/>
      <c r="K1" s="9"/>
      <c r="L1" s="9"/>
      <c r="M1" s="9"/>
      <c r="N1" s="9"/>
      <c r="O1" s="9"/>
      <c r="P1" s="9"/>
      <c r="Q1" s="9"/>
      <c r="R1" s="9"/>
    </row>
    <row r="2" spans="1:25" ht="15" customHeight="1" x14ac:dyDescent="0.25">
      <c r="A2" s="189"/>
      <c r="B2" s="189"/>
      <c r="C2" s="189"/>
      <c r="D2" s="189"/>
      <c r="E2" s="189"/>
      <c r="F2" s="189"/>
      <c r="G2" s="189"/>
      <c r="H2" s="189"/>
      <c r="I2" s="189"/>
      <c r="J2" s="9"/>
      <c r="K2" s="9"/>
      <c r="L2" s="9"/>
      <c r="M2" s="9"/>
      <c r="N2" s="9"/>
      <c r="O2" s="9"/>
      <c r="P2" s="9"/>
      <c r="Q2" s="9"/>
      <c r="R2" s="9"/>
    </row>
    <row r="3" spans="1:25" ht="15.75" customHeight="1" thickBot="1" x14ac:dyDescent="0.3">
      <c r="A3" s="190"/>
      <c r="B3" s="190"/>
      <c r="C3" s="190"/>
      <c r="D3" s="190"/>
      <c r="E3" s="190"/>
      <c r="F3" s="190"/>
      <c r="G3" s="190"/>
      <c r="H3" s="190"/>
      <c r="I3" s="190"/>
      <c r="J3" s="9"/>
      <c r="K3" s="9"/>
      <c r="L3" s="9"/>
      <c r="M3" s="9"/>
      <c r="N3" s="9"/>
      <c r="O3" s="9"/>
      <c r="P3" s="9"/>
      <c r="Q3" s="9"/>
      <c r="R3" s="9"/>
    </row>
    <row r="4" spans="1:25" s="113" customFormat="1" ht="22.5" thickTop="1" thickBot="1" x14ac:dyDescent="0.35">
      <c r="A4" s="191" t="s">
        <v>13</v>
      </c>
      <c r="B4" s="192"/>
      <c r="C4" s="1">
        <v>1</v>
      </c>
      <c r="D4" s="1">
        <v>2</v>
      </c>
      <c r="E4" s="1">
        <v>3</v>
      </c>
      <c r="F4" s="1">
        <v>4</v>
      </c>
      <c r="G4" s="1">
        <v>5</v>
      </c>
      <c r="H4" s="1">
        <v>6</v>
      </c>
      <c r="I4" s="1">
        <v>7</v>
      </c>
      <c r="J4" s="1">
        <v>8</v>
      </c>
      <c r="K4" s="1">
        <v>9</v>
      </c>
      <c r="L4" s="1">
        <v>10</v>
      </c>
      <c r="M4" s="1">
        <v>11</v>
      </c>
      <c r="N4" s="1">
        <v>12</v>
      </c>
      <c r="O4" s="1">
        <v>13</v>
      </c>
      <c r="P4" s="1">
        <v>14</v>
      </c>
      <c r="Q4" s="1">
        <v>15</v>
      </c>
      <c r="R4" s="1">
        <v>16</v>
      </c>
      <c r="S4" s="1">
        <v>17</v>
      </c>
      <c r="T4" s="112">
        <v>18</v>
      </c>
      <c r="U4" s="112">
        <v>19</v>
      </c>
      <c r="V4" s="112">
        <v>20</v>
      </c>
      <c r="W4" s="112">
        <v>21</v>
      </c>
      <c r="X4" s="112">
        <v>22</v>
      </c>
      <c r="Y4" s="112">
        <v>23</v>
      </c>
    </row>
    <row r="5" spans="1:25" ht="21.75" thickTop="1" thickBot="1" x14ac:dyDescent="0.35">
      <c r="A5" s="2" t="s">
        <v>0</v>
      </c>
      <c r="B5" s="3" t="s">
        <v>1</v>
      </c>
      <c r="C5" s="4" t="s">
        <v>49</v>
      </c>
      <c r="D5" s="4" t="s">
        <v>50</v>
      </c>
      <c r="E5" s="4" t="s">
        <v>51</v>
      </c>
      <c r="F5" s="4" t="s">
        <v>52</v>
      </c>
      <c r="G5" s="4" t="s">
        <v>48</v>
      </c>
      <c r="H5" s="4" t="s">
        <v>47</v>
      </c>
      <c r="I5" s="4" t="s">
        <v>46</v>
      </c>
      <c r="J5" s="4" t="s">
        <v>45</v>
      </c>
      <c r="K5" s="4" t="s">
        <v>53</v>
      </c>
      <c r="L5" s="4" t="s">
        <v>54</v>
      </c>
      <c r="M5" s="4" t="s">
        <v>61</v>
      </c>
      <c r="N5" s="4" t="s">
        <v>60</v>
      </c>
      <c r="O5" s="4" t="s">
        <v>59</v>
      </c>
      <c r="P5" s="4" t="s">
        <v>58</v>
      </c>
      <c r="Q5" s="4" t="s">
        <v>57</v>
      </c>
      <c r="R5" s="4" t="s">
        <v>56</v>
      </c>
      <c r="S5" s="4" t="s">
        <v>55</v>
      </c>
      <c r="T5" s="114"/>
      <c r="U5" s="114"/>
      <c r="V5" s="114"/>
      <c r="W5" s="114"/>
      <c r="X5" s="114"/>
      <c r="Y5" s="114"/>
    </row>
    <row r="6" spans="1:25" s="8" customFormat="1" ht="16.149999999999999" customHeight="1" thickTop="1" thickBot="1" x14ac:dyDescent="0.3">
      <c r="A6" s="193" t="s">
        <v>2</v>
      </c>
      <c r="B6" s="115" t="s">
        <v>10</v>
      </c>
      <c r="C6" s="65"/>
      <c r="D6" s="66"/>
      <c r="E6" s="95" t="s">
        <v>71</v>
      </c>
      <c r="F6" s="95" t="s">
        <v>71</v>
      </c>
      <c r="G6" s="95" t="s">
        <v>71</v>
      </c>
      <c r="H6" s="95" t="s">
        <v>71</v>
      </c>
      <c r="I6" s="95" t="s">
        <v>71</v>
      </c>
      <c r="J6" s="135" t="s">
        <v>71</v>
      </c>
      <c r="K6" s="135" t="s">
        <v>71</v>
      </c>
      <c r="L6" s="135" t="s">
        <v>71</v>
      </c>
      <c r="M6" s="135" t="s">
        <v>71</v>
      </c>
      <c r="N6" s="66"/>
      <c r="O6" s="66"/>
      <c r="P6" s="66"/>
      <c r="Q6" s="66"/>
      <c r="R6" s="66"/>
      <c r="S6" s="66"/>
      <c r="T6" s="67"/>
      <c r="U6" s="67"/>
      <c r="V6" s="67"/>
      <c r="W6" s="67"/>
      <c r="X6" s="67"/>
      <c r="Y6" s="67"/>
    </row>
    <row r="7" spans="1:25" s="8" customFormat="1" ht="61.5" thickTop="1" thickBot="1" x14ac:dyDescent="0.3">
      <c r="A7" s="193"/>
      <c r="B7" s="116" t="s">
        <v>11</v>
      </c>
      <c r="C7" s="68"/>
      <c r="D7" s="96" t="s">
        <v>67</v>
      </c>
      <c r="E7" s="72" t="s">
        <v>72</v>
      </c>
      <c r="F7" s="72" t="s">
        <v>72</v>
      </c>
      <c r="G7" s="72" t="s">
        <v>356</v>
      </c>
      <c r="H7" s="72" t="s">
        <v>356</v>
      </c>
      <c r="I7" s="72" t="s">
        <v>356</v>
      </c>
      <c r="J7" s="72" t="s">
        <v>357</v>
      </c>
      <c r="K7" s="72" t="s">
        <v>357</v>
      </c>
      <c r="L7" s="72" t="s">
        <v>358</v>
      </c>
      <c r="M7" s="72" t="s">
        <v>358</v>
      </c>
      <c r="N7" s="69"/>
      <c r="O7" s="69"/>
      <c r="P7" s="69"/>
      <c r="Q7" s="69"/>
      <c r="R7" s="69"/>
      <c r="S7" s="69"/>
      <c r="T7" s="70"/>
      <c r="U7" s="70"/>
      <c r="V7" s="70"/>
      <c r="W7" s="70"/>
      <c r="X7" s="70"/>
      <c r="Y7" s="71"/>
    </row>
    <row r="8" spans="1:25" s="8" customFormat="1" ht="31.9" customHeight="1" thickTop="1" thickBot="1" x14ac:dyDescent="0.3">
      <c r="A8" s="193"/>
      <c r="B8" s="116" t="s">
        <v>12</v>
      </c>
      <c r="C8" s="68"/>
      <c r="D8" s="72"/>
      <c r="E8" s="72" t="s">
        <v>73</v>
      </c>
      <c r="F8" s="72" t="s">
        <v>73</v>
      </c>
      <c r="G8" s="72" t="s">
        <v>73</v>
      </c>
      <c r="H8" s="72" t="s">
        <v>73</v>
      </c>
      <c r="I8" s="72" t="s">
        <v>73</v>
      </c>
      <c r="J8" s="72" t="s">
        <v>359</v>
      </c>
      <c r="K8" s="72" t="s">
        <v>359</v>
      </c>
      <c r="L8" s="72" t="s">
        <v>360</v>
      </c>
      <c r="M8" s="72" t="s">
        <v>360</v>
      </c>
      <c r="N8" s="72"/>
      <c r="O8" s="72"/>
      <c r="P8" s="72"/>
      <c r="Q8" s="72"/>
      <c r="R8" s="72"/>
      <c r="S8" s="72"/>
      <c r="T8" s="73"/>
      <c r="U8" s="73"/>
      <c r="V8" s="73"/>
      <c r="W8" s="73"/>
      <c r="X8" s="73"/>
      <c r="Y8" s="71"/>
    </row>
    <row r="9" spans="1:25" s="8" customFormat="1" ht="33.6" customHeight="1" thickTop="1" thickBot="1" x14ac:dyDescent="0.3">
      <c r="A9" s="193"/>
      <c r="B9" s="116" t="s">
        <v>7</v>
      </c>
      <c r="C9" s="68"/>
      <c r="D9" s="72"/>
      <c r="E9" s="72" t="s">
        <v>74</v>
      </c>
      <c r="F9" s="72" t="s">
        <v>74</v>
      </c>
      <c r="G9" s="72" t="s">
        <v>74</v>
      </c>
      <c r="H9" s="72" t="s">
        <v>74</v>
      </c>
      <c r="I9" s="72" t="s">
        <v>74</v>
      </c>
      <c r="J9" s="72" t="s">
        <v>361</v>
      </c>
      <c r="K9" s="72" t="s">
        <v>361</v>
      </c>
      <c r="L9" s="72" t="s">
        <v>362</v>
      </c>
      <c r="M9" s="72" t="s">
        <v>362</v>
      </c>
      <c r="N9" s="72"/>
      <c r="O9" s="72"/>
      <c r="P9" s="72"/>
      <c r="Q9" s="72"/>
      <c r="R9" s="72"/>
      <c r="S9" s="72"/>
      <c r="T9" s="73"/>
      <c r="U9" s="73"/>
      <c r="V9" s="73"/>
      <c r="W9" s="73"/>
      <c r="X9" s="73"/>
      <c r="Y9" s="71"/>
    </row>
    <row r="10" spans="1:25" s="8" customFormat="1" ht="16.149999999999999" customHeight="1" thickTop="1" thickBot="1" x14ac:dyDescent="0.3">
      <c r="A10" s="193"/>
      <c r="B10" s="116" t="s">
        <v>8</v>
      </c>
      <c r="C10" s="68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3"/>
      <c r="U10" s="73"/>
      <c r="V10" s="73"/>
      <c r="W10" s="73"/>
      <c r="X10" s="73"/>
      <c r="Y10" s="71"/>
    </row>
    <row r="11" spans="1:25" s="8" customFormat="1" ht="16.149999999999999" customHeight="1" thickTop="1" thickBot="1" x14ac:dyDescent="0.3">
      <c r="A11" s="193"/>
      <c r="B11" s="117" t="s">
        <v>9</v>
      </c>
      <c r="C11" s="74"/>
      <c r="D11" s="75"/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6"/>
      <c r="U11" s="76"/>
      <c r="V11" s="76"/>
      <c r="W11" s="76"/>
      <c r="X11" s="76"/>
      <c r="Y11" s="77"/>
    </row>
    <row r="12" spans="1:25" s="11" customFormat="1" ht="16.149999999999999" customHeight="1" thickTop="1" thickBot="1" x14ac:dyDescent="0.3">
      <c r="A12" s="193"/>
      <c r="B12" s="118" t="s">
        <v>14</v>
      </c>
      <c r="C12" s="78"/>
      <c r="D12" s="79"/>
      <c r="E12" s="79"/>
      <c r="F12" s="79"/>
      <c r="G12" s="79"/>
      <c r="H12" s="79"/>
      <c r="I12" s="79"/>
      <c r="J12" s="171"/>
      <c r="K12" s="171"/>
      <c r="L12" s="171"/>
      <c r="M12" s="171"/>
      <c r="N12" s="79"/>
      <c r="O12" s="79"/>
      <c r="P12" s="79"/>
      <c r="Q12" s="79"/>
      <c r="R12" s="79"/>
      <c r="S12" s="79"/>
      <c r="T12" s="80"/>
      <c r="U12" s="80"/>
      <c r="V12" s="80"/>
      <c r="W12" s="80"/>
      <c r="X12" s="80"/>
      <c r="Y12" s="81"/>
    </row>
    <row r="13" spans="1:25" s="11" customFormat="1" ht="16.149999999999999" customHeight="1" thickTop="1" thickBot="1" x14ac:dyDescent="0.3">
      <c r="A13" s="194" t="s">
        <v>3</v>
      </c>
      <c r="B13" s="97" t="s">
        <v>10</v>
      </c>
      <c r="C13" s="82"/>
      <c r="D13" s="83"/>
      <c r="E13" s="83" t="s">
        <v>68</v>
      </c>
      <c r="F13" s="83" t="s">
        <v>68</v>
      </c>
      <c r="G13" s="83" t="s">
        <v>68</v>
      </c>
      <c r="H13" s="83" t="s">
        <v>68</v>
      </c>
      <c r="I13" s="83" t="s">
        <v>68</v>
      </c>
      <c r="J13" s="147" t="s">
        <v>363</v>
      </c>
      <c r="K13" s="147" t="s">
        <v>363</v>
      </c>
      <c r="L13" s="147"/>
      <c r="M13" s="147"/>
      <c r="N13" s="83"/>
      <c r="O13" s="83"/>
      <c r="P13" s="83"/>
      <c r="Q13" s="83"/>
      <c r="R13" s="83"/>
      <c r="S13" s="83"/>
      <c r="T13" s="84"/>
      <c r="U13" s="84"/>
      <c r="V13" s="84"/>
      <c r="W13" s="84"/>
      <c r="X13" s="84"/>
      <c r="Y13" s="85"/>
    </row>
    <row r="14" spans="1:25" s="11" customFormat="1" ht="31.5" thickTop="1" thickBot="1" x14ac:dyDescent="0.3">
      <c r="A14" s="194"/>
      <c r="B14" s="119" t="s">
        <v>11</v>
      </c>
      <c r="C14" s="86" t="s">
        <v>62</v>
      </c>
      <c r="D14" s="86" t="s">
        <v>62</v>
      </c>
      <c r="E14" s="89" t="s">
        <v>69</v>
      </c>
      <c r="F14" s="89" t="s">
        <v>221</v>
      </c>
      <c r="G14" s="89" t="s">
        <v>221</v>
      </c>
      <c r="H14" s="89" t="s">
        <v>221</v>
      </c>
      <c r="I14" s="89" t="s">
        <v>221</v>
      </c>
      <c r="J14" s="89" t="s">
        <v>364</v>
      </c>
      <c r="K14" s="89" t="s">
        <v>364</v>
      </c>
      <c r="L14" s="89"/>
      <c r="M14" s="90"/>
      <c r="N14" s="87"/>
      <c r="O14" s="87"/>
      <c r="P14" s="87"/>
      <c r="Q14" s="87"/>
      <c r="R14" s="87"/>
      <c r="S14" s="87"/>
      <c r="T14" s="88"/>
      <c r="U14" s="88"/>
      <c r="V14" s="88"/>
      <c r="W14" s="88"/>
      <c r="X14" s="88"/>
      <c r="Y14" s="71"/>
    </row>
    <row r="15" spans="1:25" s="11" customFormat="1" ht="31.5" thickTop="1" thickBot="1" x14ac:dyDescent="0.3">
      <c r="A15" s="194"/>
      <c r="B15" s="119" t="s">
        <v>12</v>
      </c>
      <c r="C15" s="89" t="s">
        <v>70</v>
      </c>
      <c r="D15" s="89" t="s">
        <v>70</v>
      </c>
      <c r="E15" s="89" t="s">
        <v>70</v>
      </c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73"/>
      <c r="U15" s="73"/>
      <c r="V15" s="73"/>
      <c r="W15" s="73"/>
      <c r="X15" s="73"/>
      <c r="Y15" s="71"/>
    </row>
    <row r="16" spans="1:25" s="11" customFormat="1" ht="16.149999999999999" customHeight="1" thickTop="1" thickBot="1" x14ac:dyDescent="0.3">
      <c r="A16" s="194"/>
      <c r="B16" s="119" t="s">
        <v>7</v>
      </c>
      <c r="C16" s="86"/>
      <c r="D16" s="87"/>
      <c r="E16" s="87"/>
      <c r="F16" s="87"/>
      <c r="G16" s="87"/>
      <c r="H16" s="87"/>
      <c r="I16" s="87"/>
      <c r="J16" s="90"/>
      <c r="K16" s="90"/>
      <c r="L16" s="90"/>
      <c r="M16" s="90"/>
      <c r="N16" s="87"/>
      <c r="O16" s="87"/>
      <c r="P16" s="87"/>
      <c r="Q16" s="87"/>
      <c r="R16" s="87"/>
      <c r="S16" s="87"/>
      <c r="T16" s="88"/>
      <c r="U16" s="88"/>
      <c r="V16" s="88"/>
      <c r="W16" s="88"/>
      <c r="X16" s="88"/>
      <c r="Y16" s="71"/>
    </row>
    <row r="17" spans="1:25" s="11" customFormat="1" ht="16.149999999999999" customHeight="1" thickTop="1" thickBot="1" x14ac:dyDescent="0.3">
      <c r="A17" s="194"/>
      <c r="B17" s="119" t="s">
        <v>8</v>
      </c>
      <c r="C17" s="86"/>
      <c r="D17" s="87"/>
      <c r="E17" s="87"/>
      <c r="F17" s="87"/>
      <c r="G17" s="87"/>
      <c r="H17" s="87"/>
      <c r="I17" s="87"/>
      <c r="J17" s="90"/>
      <c r="K17" s="90"/>
      <c r="L17" s="90"/>
      <c r="M17" s="90"/>
      <c r="N17" s="87"/>
      <c r="O17" s="87"/>
      <c r="P17" s="87"/>
      <c r="Q17" s="87"/>
      <c r="R17" s="87"/>
      <c r="S17" s="87"/>
      <c r="T17" s="88"/>
      <c r="U17" s="88"/>
      <c r="V17" s="88"/>
      <c r="W17" s="88"/>
      <c r="X17" s="88"/>
      <c r="Y17" s="71"/>
    </row>
    <row r="18" spans="1:25" s="8" customFormat="1" ht="16.149999999999999" customHeight="1" thickTop="1" thickBot="1" x14ac:dyDescent="0.3">
      <c r="A18" s="194"/>
      <c r="B18" s="120" t="s">
        <v>9</v>
      </c>
      <c r="C18" s="86"/>
      <c r="D18" s="91"/>
      <c r="E18" s="91"/>
      <c r="F18" s="91"/>
      <c r="G18" s="91"/>
      <c r="H18" s="91"/>
      <c r="I18" s="91"/>
      <c r="J18" s="172"/>
      <c r="K18" s="172"/>
      <c r="L18" s="172"/>
      <c r="M18" s="172"/>
      <c r="N18" s="91"/>
      <c r="O18" s="91"/>
      <c r="P18" s="91"/>
      <c r="Q18" s="91"/>
      <c r="R18" s="91"/>
      <c r="S18" s="91"/>
      <c r="T18" s="92"/>
      <c r="U18" s="92"/>
      <c r="V18" s="92"/>
      <c r="W18" s="92"/>
      <c r="X18" s="92"/>
      <c r="Y18" s="77"/>
    </row>
    <row r="19" spans="1:25" s="8" customFormat="1" ht="16.149999999999999" customHeight="1" thickTop="1" thickBot="1" x14ac:dyDescent="0.3">
      <c r="A19" s="194"/>
      <c r="B19" s="121" t="s">
        <v>14</v>
      </c>
      <c r="C19" s="93"/>
      <c r="D19" s="94"/>
      <c r="E19" s="94"/>
      <c r="F19" s="94"/>
      <c r="G19" s="94"/>
      <c r="H19" s="94"/>
      <c r="I19" s="94"/>
      <c r="J19" s="173"/>
      <c r="K19" s="173"/>
      <c r="L19" s="173"/>
      <c r="M19" s="173"/>
      <c r="N19" s="94"/>
      <c r="O19" s="94"/>
      <c r="P19" s="94"/>
      <c r="Q19" s="94"/>
      <c r="R19" s="94"/>
      <c r="S19" s="94"/>
      <c r="T19" s="80"/>
      <c r="U19" s="80"/>
      <c r="V19" s="80"/>
      <c r="W19" s="80"/>
      <c r="X19" s="80"/>
      <c r="Y19" s="81"/>
    </row>
    <row r="20" spans="1:25" s="8" customFormat="1" ht="16.149999999999999" customHeight="1" thickTop="1" thickBot="1" x14ac:dyDescent="0.3">
      <c r="A20" s="193" t="s">
        <v>4</v>
      </c>
      <c r="B20" s="115" t="s">
        <v>10</v>
      </c>
      <c r="C20" s="65"/>
      <c r="D20" s="95"/>
      <c r="E20" s="95"/>
      <c r="F20" s="95"/>
      <c r="G20" s="95"/>
      <c r="H20" s="95"/>
      <c r="I20" s="95"/>
      <c r="J20" s="135"/>
      <c r="K20" s="135"/>
      <c r="L20" s="135"/>
      <c r="M20" s="135"/>
      <c r="N20" s="95"/>
      <c r="O20" s="95"/>
      <c r="P20" s="95"/>
      <c r="Q20" s="95"/>
      <c r="R20" s="95"/>
      <c r="S20" s="95"/>
      <c r="T20" s="84"/>
      <c r="U20" s="84"/>
      <c r="V20" s="84"/>
      <c r="W20" s="84"/>
      <c r="X20" s="84"/>
      <c r="Y20" s="85"/>
    </row>
    <row r="21" spans="1:25" s="8" customFormat="1" ht="16.149999999999999" customHeight="1" thickTop="1" thickBot="1" x14ac:dyDescent="0.3">
      <c r="A21" s="193"/>
      <c r="B21" s="116" t="s">
        <v>11</v>
      </c>
      <c r="C21" s="68" t="s">
        <v>67</v>
      </c>
      <c r="D21" s="96" t="s">
        <v>67</v>
      </c>
      <c r="E21" s="96"/>
      <c r="F21" s="96"/>
      <c r="G21" s="96"/>
      <c r="H21" s="96"/>
      <c r="I21" s="96"/>
      <c r="J21" s="72"/>
      <c r="K21" s="72"/>
      <c r="L21" s="72"/>
      <c r="M21" s="72"/>
      <c r="N21" s="96"/>
      <c r="O21" s="96"/>
      <c r="P21" s="96"/>
      <c r="Q21" s="96"/>
      <c r="R21" s="96"/>
      <c r="S21" s="96"/>
      <c r="T21" s="88"/>
      <c r="U21" s="88"/>
      <c r="V21" s="88"/>
      <c r="W21" s="88"/>
      <c r="X21" s="88"/>
      <c r="Y21" s="71"/>
    </row>
    <row r="22" spans="1:25" s="8" customFormat="1" ht="16.149999999999999" customHeight="1" thickTop="1" thickBot="1" x14ac:dyDescent="0.3">
      <c r="A22" s="193"/>
      <c r="B22" s="116" t="s">
        <v>12</v>
      </c>
      <c r="C22" s="68"/>
      <c r="D22" s="96"/>
      <c r="E22" s="96" t="s">
        <v>67</v>
      </c>
      <c r="F22" s="96"/>
      <c r="G22" s="96"/>
      <c r="H22" s="96"/>
      <c r="I22" s="96"/>
      <c r="J22" s="72"/>
      <c r="K22" s="72"/>
      <c r="L22" s="72"/>
      <c r="M22" s="72"/>
      <c r="N22" s="96"/>
      <c r="O22" s="96"/>
      <c r="P22" s="96"/>
      <c r="Q22" s="96"/>
      <c r="R22" s="96"/>
      <c r="S22" s="96"/>
      <c r="T22" s="88"/>
      <c r="U22" s="88"/>
      <c r="V22" s="88"/>
      <c r="W22" s="88"/>
      <c r="X22" s="88"/>
      <c r="Y22" s="71"/>
    </row>
    <row r="23" spans="1:25" s="8" customFormat="1" ht="16.149999999999999" customHeight="1" thickTop="1" thickBot="1" x14ac:dyDescent="0.3">
      <c r="A23" s="193"/>
      <c r="B23" s="116" t="s">
        <v>7</v>
      </c>
      <c r="C23" s="68"/>
      <c r="D23" s="96"/>
      <c r="E23" s="96" t="s">
        <v>67</v>
      </c>
      <c r="F23" s="96"/>
      <c r="G23" s="96"/>
      <c r="H23" s="96"/>
      <c r="I23" s="96"/>
      <c r="J23" s="72"/>
      <c r="K23" s="72"/>
      <c r="L23" s="72"/>
      <c r="M23" s="72"/>
      <c r="N23" s="96"/>
      <c r="O23" s="96"/>
      <c r="P23" s="96"/>
      <c r="Q23" s="96"/>
      <c r="R23" s="96"/>
      <c r="S23" s="96"/>
      <c r="T23" s="88"/>
      <c r="U23" s="88"/>
      <c r="V23" s="88"/>
      <c r="W23" s="88"/>
      <c r="X23" s="88"/>
      <c r="Y23" s="71"/>
    </row>
    <row r="24" spans="1:25" s="8" customFormat="1" ht="16.149999999999999" customHeight="1" thickTop="1" thickBot="1" x14ac:dyDescent="0.3">
      <c r="A24" s="193"/>
      <c r="B24" s="116" t="s">
        <v>8</v>
      </c>
      <c r="C24" s="68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3"/>
      <c r="U24" s="73"/>
      <c r="V24" s="73"/>
      <c r="W24" s="73"/>
      <c r="X24" s="73"/>
      <c r="Y24" s="71"/>
    </row>
    <row r="25" spans="1:25" s="11" customFormat="1" ht="16.149999999999999" customHeight="1" thickTop="1" thickBot="1" x14ac:dyDescent="0.3">
      <c r="A25" s="193"/>
      <c r="B25" s="116" t="s">
        <v>9</v>
      </c>
      <c r="C25" s="68"/>
      <c r="D25" s="96"/>
      <c r="E25" s="96"/>
      <c r="F25" s="96"/>
      <c r="G25" s="96"/>
      <c r="H25" s="96"/>
      <c r="I25" s="96"/>
      <c r="J25" s="72"/>
      <c r="K25" s="72"/>
      <c r="L25" s="72"/>
      <c r="M25" s="72"/>
      <c r="N25" s="96"/>
      <c r="O25" s="96"/>
      <c r="P25" s="96"/>
      <c r="Q25" s="96"/>
      <c r="R25" s="96"/>
      <c r="S25" s="96"/>
      <c r="T25" s="88"/>
      <c r="U25" s="88"/>
      <c r="V25" s="88"/>
      <c r="W25" s="88"/>
      <c r="X25" s="88"/>
      <c r="Y25" s="71"/>
    </row>
    <row r="26" spans="1:25" s="11" customFormat="1" ht="16.149999999999999" customHeight="1" thickTop="1" thickBot="1" x14ac:dyDescent="0.3">
      <c r="A26" s="193"/>
      <c r="B26" s="118" t="s">
        <v>14</v>
      </c>
      <c r="C26" s="78"/>
      <c r="D26" s="79"/>
      <c r="E26" s="79"/>
      <c r="F26" s="79"/>
      <c r="G26" s="79"/>
      <c r="H26" s="79"/>
      <c r="I26" s="79"/>
      <c r="J26" s="171"/>
      <c r="K26" s="171"/>
      <c r="L26" s="171"/>
      <c r="M26" s="171"/>
      <c r="N26" s="79"/>
      <c r="O26" s="79"/>
      <c r="P26" s="79"/>
      <c r="Q26" s="79"/>
      <c r="R26" s="79"/>
      <c r="S26" s="79"/>
      <c r="T26" s="80"/>
      <c r="U26" s="80"/>
      <c r="V26" s="80"/>
      <c r="W26" s="80"/>
      <c r="X26" s="80"/>
      <c r="Y26" s="81"/>
    </row>
    <row r="27" spans="1:25" s="11" customFormat="1" ht="16.149999999999999" customHeight="1" thickTop="1" thickBot="1" x14ac:dyDescent="0.3">
      <c r="A27" s="194" t="s">
        <v>5</v>
      </c>
      <c r="B27" s="97" t="s">
        <v>10</v>
      </c>
      <c r="C27" s="97"/>
      <c r="D27" s="98"/>
      <c r="E27" s="98"/>
      <c r="F27" s="98"/>
      <c r="G27" s="98"/>
      <c r="H27" s="98"/>
      <c r="I27" s="98"/>
      <c r="J27" s="153"/>
      <c r="K27" s="153"/>
      <c r="L27" s="153"/>
      <c r="M27" s="153"/>
      <c r="N27" s="98"/>
      <c r="O27" s="98"/>
      <c r="P27" s="98"/>
      <c r="Q27" s="98"/>
      <c r="R27" s="98"/>
      <c r="S27" s="98"/>
      <c r="T27" s="67"/>
      <c r="U27" s="67"/>
      <c r="V27" s="67"/>
      <c r="W27" s="67"/>
      <c r="X27" s="67"/>
      <c r="Y27" s="85"/>
    </row>
    <row r="28" spans="1:25" s="11" customFormat="1" ht="16.149999999999999" customHeight="1" thickTop="1" thickBot="1" x14ac:dyDescent="0.3">
      <c r="A28" s="194"/>
      <c r="B28" s="119" t="s">
        <v>11</v>
      </c>
      <c r="C28" s="86" t="s">
        <v>70</v>
      </c>
      <c r="D28" s="86" t="s">
        <v>70</v>
      </c>
      <c r="E28" s="86" t="s">
        <v>70</v>
      </c>
      <c r="F28" s="87"/>
      <c r="G28" s="87"/>
      <c r="H28" s="87"/>
      <c r="I28" s="87"/>
      <c r="J28" s="90"/>
      <c r="K28" s="90"/>
      <c r="L28" s="90"/>
      <c r="M28" s="90"/>
      <c r="N28" s="87"/>
      <c r="O28" s="87"/>
      <c r="P28" s="87"/>
      <c r="Q28" s="87"/>
      <c r="R28" s="87"/>
      <c r="S28" s="87"/>
      <c r="T28" s="88"/>
      <c r="U28" s="88"/>
      <c r="V28" s="88"/>
      <c r="W28" s="88"/>
      <c r="X28" s="88"/>
      <c r="Y28" s="71"/>
    </row>
    <row r="29" spans="1:25" s="11" customFormat="1" ht="16.149999999999999" customHeight="1" thickTop="1" thickBot="1" x14ac:dyDescent="0.3">
      <c r="A29" s="194"/>
      <c r="B29" s="119" t="s">
        <v>12</v>
      </c>
      <c r="C29" s="86"/>
      <c r="D29" s="87"/>
      <c r="E29" s="87" t="s">
        <v>62</v>
      </c>
      <c r="F29" s="87"/>
      <c r="G29" s="87"/>
      <c r="H29" s="87"/>
      <c r="I29" s="87"/>
      <c r="J29" s="90"/>
      <c r="K29" s="90"/>
      <c r="L29" s="90"/>
      <c r="M29" s="90"/>
      <c r="N29" s="87"/>
      <c r="O29" s="87"/>
      <c r="P29" s="87"/>
      <c r="Q29" s="87"/>
      <c r="R29" s="87"/>
      <c r="S29" s="87"/>
      <c r="T29" s="88"/>
      <c r="U29" s="88"/>
      <c r="V29" s="88"/>
      <c r="W29" s="88"/>
      <c r="X29" s="88"/>
      <c r="Y29" s="71"/>
    </row>
    <row r="30" spans="1:25" s="11" customFormat="1" ht="16.149999999999999" customHeight="1" thickTop="1" thickBot="1" x14ac:dyDescent="0.3">
      <c r="A30" s="194"/>
      <c r="B30" s="119" t="s">
        <v>7</v>
      </c>
      <c r="C30" s="90" t="s">
        <v>62</v>
      </c>
      <c r="D30" s="90" t="s">
        <v>62</v>
      </c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90"/>
      <c r="S30" s="90"/>
      <c r="T30" s="73"/>
      <c r="U30" s="73"/>
      <c r="V30" s="73"/>
      <c r="W30" s="73"/>
      <c r="X30" s="73"/>
      <c r="Y30" s="71"/>
    </row>
    <row r="31" spans="1:25" s="11" customFormat="1" ht="16.149999999999999" customHeight="1" thickTop="1" thickBot="1" x14ac:dyDescent="0.3">
      <c r="A31" s="194"/>
      <c r="B31" s="119" t="s">
        <v>8</v>
      </c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90"/>
      <c r="S31" s="90"/>
      <c r="T31" s="73"/>
      <c r="U31" s="73"/>
      <c r="V31" s="73"/>
      <c r="W31" s="73"/>
      <c r="X31" s="73"/>
      <c r="Y31" s="100"/>
    </row>
    <row r="32" spans="1:25" s="8" customFormat="1" ht="16.149999999999999" customHeight="1" thickTop="1" thickBot="1" x14ac:dyDescent="0.3">
      <c r="A32" s="194"/>
      <c r="B32" s="120" t="s">
        <v>9</v>
      </c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73"/>
      <c r="U32" s="73"/>
      <c r="V32" s="73"/>
      <c r="W32" s="73"/>
      <c r="X32" s="73"/>
      <c r="Y32" s="101"/>
    </row>
    <row r="33" spans="1:25" s="8" customFormat="1" ht="16.5" thickTop="1" thickBot="1" x14ac:dyDescent="0.3">
      <c r="A33" s="194"/>
      <c r="B33" s="121" t="s">
        <v>14</v>
      </c>
      <c r="C33" s="90"/>
      <c r="D33" s="87"/>
      <c r="E33" s="87"/>
      <c r="F33" s="87"/>
      <c r="G33" s="87"/>
      <c r="H33" s="87"/>
      <c r="I33" s="87"/>
      <c r="J33" s="90"/>
      <c r="K33" s="90"/>
      <c r="L33" s="90"/>
      <c r="M33" s="90"/>
      <c r="N33" s="87"/>
      <c r="O33" s="87"/>
      <c r="P33" s="87"/>
      <c r="Q33" s="87"/>
      <c r="R33" s="87"/>
      <c r="S33" s="87"/>
      <c r="T33" s="88"/>
      <c r="U33" s="88"/>
      <c r="V33" s="88"/>
      <c r="W33" s="88"/>
      <c r="X33" s="88"/>
      <c r="Y33" s="81"/>
    </row>
    <row r="34" spans="1:25" s="8" customFormat="1" ht="31.5" thickTop="1" thickBot="1" x14ac:dyDescent="0.3">
      <c r="A34" s="188" t="s">
        <v>6</v>
      </c>
      <c r="B34" s="115" t="s">
        <v>10</v>
      </c>
      <c r="C34" s="95"/>
      <c r="D34" s="95"/>
      <c r="E34" s="95" t="s">
        <v>75</v>
      </c>
      <c r="F34" s="95" t="s">
        <v>75</v>
      </c>
      <c r="G34" s="95" t="s">
        <v>75</v>
      </c>
      <c r="H34" s="95" t="s">
        <v>75</v>
      </c>
      <c r="I34" s="95" t="s">
        <v>75</v>
      </c>
      <c r="J34" s="135" t="s">
        <v>365</v>
      </c>
      <c r="K34" s="135" t="s">
        <v>365</v>
      </c>
      <c r="L34" s="135" t="s">
        <v>369</v>
      </c>
      <c r="M34" s="135"/>
      <c r="N34" s="95"/>
      <c r="O34" s="95"/>
      <c r="P34" s="95"/>
      <c r="Q34" s="95"/>
      <c r="R34" s="95"/>
      <c r="S34" s="95"/>
      <c r="T34" s="84"/>
      <c r="U34" s="84"/>
      <c r="V34" s="84"/>
      <c r="W34" s="84"/>
      <c r="X34" s="84"/>
      <c r="Y34" s="85"/>
    </row>
    <row r="35" spans="1:25" s="8" customFormat="1" ht="31.5" thickTop="1" thickBot="1" x14ac:dyDescent="0.3">
      <c r="A35" s="188"/>
      <c r="B35" s="116" t="s">
        <v>11</v>
      </c>
      <c r="C35" s="96"/>
      <c r="D35" s="96"/>
      <c r="E35" s="96" t="s">
        <v>76</v>
      </c>
      <c r="F35" s="96" t="s">
        <v>76</v>
      </c>
      <c r="G35" s="96" t="s">
        <v>76</v>
      </c>
      <c r="H35" s="96" t="s">
        <v>76</v>
      </c>
      <c r="I35" s="96" t="s">
        <v>76</v>
      </c>
      <c r="J35" s="72" t="s">
        <v>366</v>
      </c>
      <c r="K35" s="72" t="s">
        <v>366</v>
      </c>
      <c r="L35" s="72" t="s">
        <v>370</v>
      </c>
      <c r="M35" s="72"/>
      <c r="N35" s="96"/>
      <c r="O35" s="96"/>
      <c r="P35" s="96"/>
      <c r="Q35" s="96"/>
      <c r="R35" s="96"/>
      <c r="S35" s="96"/>
      <c r="T35" s="88"/>
      <c r="U35" s="88"/>
      <c r="V35" s="88"/>
      <c r="W35" s="88"/>
      <c r="X35" s="88"/>
      <c r="Y35" s="71"/>
    </row>
    <row r="36" spans="1:25" s="8" customFormat="1" ht="16.149999999999999" customHeight="1" thickTop="1" thickBot="1" x14ac:dyDescent="0.3">
      <c r="A36" s="188"/>
      <c r="B36" s="116" t="s">
        <v>12</v>
      </c>
      <c r="C36" s="69"/>
      <c r="D36" s="69"/>
      <c r="E36" s="96" t="s">
        <v>77</v>
      </c>
      <c r="F36" s="96" t="s">
        <v>77</v>
      </c>
      <c r="G36" s="96" t="s">
        <v>77</v>
      </c>
      <c r="H36" s="96" t="s">
        <v>77</v>
      </c>
      <c r="I36" s="96" t="s">
        <v>77</v>
      </c>
      <c r="J36" s="72" t="s">
        <v>367</v>
      </c>
      <c r="K36" s="72" t="s">
        <v>367</v>
      </c>
      <c r="L36" s="72" t="s">
        <v>367</v>
      </c>
      <c r="M36" s="170"/>
      <c r="N36" s="69"/>
      <c r="O36" s="69"/>
      <c r="P36" s="69"/>
      <c r="Q36" s="69"/>
      <c r="R36" s="69"/>
      <c r="S36" s="69"/>
      <c r="T36" s="70"/>
      <c r="U36" s="70"/>
      <c r="V36" s="70"/>
      <c r="W36" s="70"/>
      <c r="X36" s="70"/>
      <c r="Y36" s="71"/>
    </row>
    <row r="37" spans="1:25" ht="16.149999999999999" customHeight="1" thickTop="1" thickBot="1" x14ac:dyDescent="0.3">
      <c r="A37" s="188"/>
      <c r="B37" s="116" t="s">
        <v>7</v>
      </c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3"/>
      <c r="U37" s="73"/>
      <c r="V37" s="73"/>
      <c r="W37" s="73"/>
      <c r="X37" s="73"/>
      <c r="Y37" s="100"/>
    </row>
    <row r="38" spans="1:25" ht="16.149999999999999" customHeight="1" thickTop="1" thickBot="1" x14ac:dyDescent="0.3">
      <c r="A38" s="188"/>
      <c r="B38" s="116" t="s">
        <v>8</v>
      </c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3"/>
      <c r="U38" s="73"/>
      <c r="V38" s="73"/>
      <c r="W38" s="73"/>
      <c r="X38" s="73"/>
      <c r="Y38" s="71"/>
    </row>
    <row r="39" spans="1:25" ht="16.149999999999999" customHeight="1" thickTop="1" thickBot="1" x14ac:dyDescent="0.3">
      <c r="A39" s="188"/>
      <c r="B39" s="117" t="s">
        <v>9</v>
      </c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6"/>
      <c r="U39" s="76"/>
      <c r="V39" s="76"/>
      <c r="W39" s="76"/>
      <c r="X39" s="76"/>
      <c r="Y39" s="77"/>
    </row>
    <row r="40" spans="1:25" ht="16.149999999999999" customHeight="1" thickTop="1" thickBot="1" x14ac:dyDescent="0.3">
      <c r="A40" s="188"/>
      <c r="B40" s="118" t="s">
        <v>14</v>
      </c>
      <c r="C40" s="102"/>
      <c r="D40" s="103"/>
      <c r="E40" s="103"/>
      <c r="F40" s="103"/>
      <c r="G40" s="103"/>
      <c r="H40" s="103"/>
      <c r="I40" s="103"/>
      <c r="J40" s="174"/>
      <c r="K40" s="174"/>
      <c r="L40" s="174"/>
      <c r="M40" s="174"/>
      <c r="N40" s="103"/>
      <c r="O40" s="103"/>
      <c r="P40" s="103"/>
      <c r="Q40" s="103"/>
      <c r="R40" s="103"/>
      <c r="S40" s="103"/>
      <c r="T40" s="104"/>
      <c r="U40" s="104"/>
      <c r="V40" s="104"/>
      <c r="W40" s="104"/>
      <c r="X40" s="104"/>
      <c r="Y40" s="185"/>
    </row>
    <row r="41" spans="1:25" ht="16.149999999999999" customHeight="1" thickTop="1" thickBot="1" x14ac:dyDescent="0.3">
      <c r="A41" s="188" t="s">
        <v>24</v>
      </c>
      <c r="B41" s="136" t="s">
        <v>10</v>
      </c>
      <c r="C41" s="106"/>
      <c r="D41" s="106"/>
      <c r="E41" s="95"/>
      <c r="F41" s="95"/>
      <c r="G41" s="95"/>
      <c r="H41" s="95"/>
      <c r="I41" s="95"/>
      <c r="J41" s="135"/>
      <c r="K41" s="135"/>
      <c r="L41" s="135"/>
      <c r="M41" s="135"/>
      <c r="N41" s="95"/>
      <c r="O41" s="95"/>
      <c r="P41" s="95"/>
      <c r="Q41" s="95"/>
      <c r="R41" s="95"/>
      <c r="S41" s="95"/>
      <c r="T41" s="84"/>
      <c r="U41" s="84"/>
      <c r="V41" s="84"/>
      <c r="W41" s="84"/>
      <c r="X41" s="84"/>
      <c r="Y41" s="84"/>
    </row>
    <row r="42" spans="1:25" ht="16.149999999999999" customHeight="1" thickTop="1" thickBot="1" x14ac:dyDescent="0.3">
      <c r="A42" s="188"/>
      <c r="B42" s="108" t="s">
        <v>11</v>
      </c>
      <c r="C42" s="107" t="s">
        <v>67</v>
      </c>
      <c r="D42" s="107"/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88"/>
      <c r="U42" s="88"/>
      <c r="V42" s="88"/>
      <c r="W42" s="88"/>
      <c r="X42" s="88"/>
      <c r="Y42" s="88"/>
    </row>
    <row r="43" spans="1:25" ht="16.149999999999999" customHeight="1" thickTop="1" thickBot="1" x14ac:dyDescent="0.3">
      <c r="A43" s="188"/>
      <c r="B43" s="108" t="s">
        <v>12</v>
      </c>
      <c r="C43" s="108"/>
      <c r="D43" s="108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69"/>
      <c r="Q43" s="69"/>
      <c r="R43" s="69"/>
      <c r="S43" s="69"/>
      <c r="T43" s="70"/>
      <c r="U43" s="70"/>
      <c r="V43" s="70"/>
      <c r="W43" s="70"/>
      <c r="X43" s="70"/>
      <c r="Y43" s="70"/>
    </row>
    <row r="44" spans="1:25" ht="30" customHeight="1" thickTop="1" thickBot="1" x14ac:dyDescent="0.3">
      <c r="A44" s="188"/>
      <c r="B44" s="134" t="s">
        <v>7</v>
      </c>
      <c r="C44" s="109"/>
      <c r="D44" s="109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3"/>
      <c r="U44" s="73"/>
      <c r="V44" s="73"/>
      <c r="W44" s="73"/>
      <c r="X44" s="73"/>
      <c r="Y44" s="73"/>
    </row>
    <row r="45" spans="1:25" ht="30" customHeight="1" thickTop="1" thickBot="1" x14ac:dyDescent="0.3">
      <c r="A45" s="188"/>
      <c r="B45" s="134" t="s">
        <v>8</v>
      </c>
      <c r="C45" s="109"/>
      <c r="D45" s="109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3"/>
      <c r="U45" s="73"/>
      <c r="V45" s="73"/>
      <c r="W45" s="73"/>
      <c r="X45" s="73"/>
      <c r="Y45" s="73"/>
    </row>
    <row r="46" spans="1:25" ht="30" customHeight="1" thickTop="1" thickBot="1" x14ac:dyDescent="0.3">
      <c r="A46" s="188"/>
      <c r="B46" s="137" t="s">
        <v>9</v>
      </c>
      <c r="C46" s="110"/>
      <c r="D46" s="110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5"/>
      <c r="S46" s="75"/>
      <c r="T46" s="76"/>
      <c r="U46" s="76"/>
      <c r="V46" s="76"/>
      <c r="W46" s="76"/>
      <c r="X46" s="76"/>
      <c r="Y46" s="76"/>
    </row>
    <row r="47" spans="1:25" ht="16.5" customHeight="1" thickTop="1" thickBot="1" x14ac:dyDescent="0.3">
      <c r="A47" s="188"/>
      <c r="B47" s="118" t="s">
        <v>14</v>
      </c>
      <c r="C47" s="111"/>
      <c r="D47" s="111"/>
      <c r="E47" s="103"/>
      <c r="F47" s="103"/>
      <c r="G47" s="103"/>
      <c r="H47" s="103"/>
      <c r="I47" s="103"/>
      <c r="J47" s="103"/>
      <c r="K47" s="103"/>
      <c r="L47" s="103"/>
      <c r="M47" s="103"/>
      <c r="N47" s="103"/>
      <c r="O47" s="103"/>
      <c r="P47" s="103"/>
      <c r="Q47" s="103"/>
      <c r="R47" s="103"/>
      <c r="S47" s="103"/>
      <c r="T47" s="104"/>
      <c r="U47" s="104"/>
      <c r="V47" s="104"/>
      <c r="W47" s="104"/>
      <c r="X47" s="104"/>
      <c r="Y47" s="104"/>
    </row>
    <row r="48" spans="1:25" ht="15.75" thickTop="1" x14ac:dyDescent="0.25"/>
    <row r="49" spans="1:5" x14ac:dyDescent="0.25">
      <c r="A49" t="s">
        <v>42</v>
      </c>
      <c r="B49" s="122" t="s">
        <v>43</v>
      </c>
    </row>
    <row r="50" spans="1:5" x14ac:dyDescent="0.25">
      <c r="A50" s="186" t="s">
        <v>145</v>
      </c>
      <c r="B50" s="150" t="s">
        <v>141</v>
      </c>
      <c r="E50" s="125"/>
    </row>
    <row r="51" spans="1:5" x14ac:dyDescent="0.25">
      <c r="A51" s="186" t="s">
        <v>145</v>
      </c>
      <c r="B51" s="150" t="s">
        <v>142</v>
      </c>
      <c r="E51" s="125"/>
    </row>
    <row r="52" spans="1:5" x14ac:dyDescent="0.25">
      <c r="A52" s="186" t="s">
        <v>145</v>
      </c>
      <c r="B52" s="150" t="s">
        <v>143</v>
      </c>
      <c r="E52" s="125"/>
    </row>
    <row r="53" spans="1:5" x14ac:dyDescent="0.25">
      <c r="A53" s="186" t="s">
        <v>145</v>
      </c>
      <c r="B53" s="150" t="s">
        <v>252</v>
      </c>
      <c r="E53" s="125"/>
    </row>
    <row r="54" spans="1:5" x14ac:dyDescent="0.25">
      <c r="A54" s="125"/>
      <c r="B54" s="187"/>
      <c r="E54" s="125"/>
    </row>
    <row r="55" spans="1:5" x14ac:dyDescent="0.25">
      <c r="A55" s="186" t="s">
        <v>145</v>
      </c>
      <c r="B55" s="150" t="s">
        <v>86</v>
      </c>
      <c r="E55" s="125"/>
    </row>
    <row r="56" spans="1:5" x14ac:dyDescent="0.25">
      <c r="A56" s="186" t="s">
        <v>251</v>
      </c>
      <c r="B56" s="150" t="s">
        <v>87</v>
      </c>
      <c r="E56" s="125"/>
    </row>
    <row r="57" spans="1:5" x14ac:dyDescent="0.25">
      <c r="A57" s="186" t="s">
        <v>145</v>
      </c>
      <c r="B57" s="150" t="s">
        <v>88</v>
      </c>
      <c r="E57" s="125"/>
    </row>
    <row r="58" spans="1:5" x14ac:dyDescent="0.25">
      <c r="A58" s="186" t="s">
        <v>251</v>
      </c>
      <c r="B58" s="150" t="s">
        <v>89</v>
      </c>
      <c r="E58" s="125"/>
    </row>
    <row r="59" spans="1:5" x14ac:dyDescent="0.25">
      <c r="A59" s="186" t="s">
        <v>251</v>
      </c>
      <c r="B59" s="150" t="s">
        <v>90</v>
      </c>
      <c r="E59" s="125"/>
    </row>
    <row r="60" spans="1:5" x14ac:dyDescent="0.25">
      <c r="A60" s="186" t="s">
        <v>251</v>
      </c>
      <c r="B60" s="150" t="s">
        <v>91</v>
      </c>
      <c r="E60" s="125"/>
    </row>
    <row r="61" spans="1:5" x14ac:dyDescent="0.25">
      <c r="A61" s="186" t="s">
        <v>251</v>
      </c>
      <c r="B61" s="150" t="s">
        <v>92</v>
      </c>
      <c r="E61" s="125"/>
    </row>
    <row r="62" spans="1:5" x14ac:dyDescent="0.25">
      <c r="B62" s="150"/>
      <c r="E62" s="125"/>
    </row>
    <row r="63" spans="1:5" x14ac:dyDescent="0.25">
      <c r="A63" s="186" t="s">
        <v>145</v>
      </c>
      <c r="B63" s="150" t="s">
        <v>136</v>
      </c>
      <c r="E63" s="125"/>
    </row>
    <row r="64" spans="1:5" x14ac:dyDescent="0.25">
      <c r="A64" s="186" t="s">
        <v>145</v>
      </c>
      <c r="B64" s="150" t="s">
        <v>137</v>
      </c>
      <c r="E64" s="125"/>
    </row>
    <row r="65" spans="1:5" x14ac:dyDescent="0.25">
      <c r="A65" s="186" t="s">
        <v>145</v>
      </c>
      <c r="B65" s="150" t="s">
        <v>144</v>
      </c>
      <c r="E65" s="125"/>
    </row>
    <row r="66" spans="1:5" x14ac:dyDescent="0.25">
      <c r="B66" s="150"/>
      <c r="E66" s="125"/>
    </row>
    <row r="67" spans="1:5" x14ac:dyDescent="0.25">
      <c r="E67" s="125"/>
    </row>
  </sheetData>
  <mergeCells count="8">
    <mergeCell ref="A34:A40"/>
    <mergeCell ref="A41:A47"/>
    <mergeCell ref="A1:I3"/>
    <mergeCell ref="A4:B4"/>
    <mergeCell ref="A6:A12"/>
    <mergeCell ref="A13:A19"/>
    <mergeCell ref="A20:A26"/>
    <mergeCell ref="A27:A33"/>
  </mergeCells>
  <conditionalFormatting sqref="E8:I8 J7:K7 L8:M8 D6:Y6">
    <cfRule type="containsText" dxfId="268" priority="19" operator="containsText" text=" Анікєєв">
      <formula>NOT(ISERROR(SEARCH(" Анікєєв",D6)))</formula>
    </cfRule>
  </conditionalFormatting>
  <conditionalFormatting sqref="D7 N7:X7">
    <cfRule type="containsText" dxfId="267" priority="18" operator="containsText" text=" Анікєєв">
      <formula>NOT(ISERROR(SEARCH(" Анікєєв",D7)))</formula>
    </cfRule>
  </conditionalFormatting>
  <conditionalFormatting sqref="D8 N8:X8">
    <cfRule type="containsText" dxfId="266" priority="17" operator="containsText" text=" Анікєєв">
      <formula>NOT(ISERROR(SEARCH(" Анікєєв",D8)))</formula>
    </cfRule>
  </conditionalFormatting>
  <conditionalFormatting sqref="D9 N9:X9">
    <cfRule type="containsText" dxfId="265" priority="16" operator="containsText" text=" Анікєєв">
      <formula>NOT(ISERROR(SEARCH(" Анікєєв",D9)))</formula>
    </cfRule>
  </conditionalFormatting>
  <conditionalFormatting sqref="D10:X11">
    <cfRule type="containsText" dxfId="264" priority="15" operator="containsText" text=" Анікєєв">
      <formula>NOT(ISERROR(SEARCH(" Анікєєв",D10)))</formula>
    </cfRule>
  </conditionalFormatting>
  <conditionalFormatting sqref="D12:X12">
    <cfRule type="containsText" dxfId="263" priority="14" operator="containsText" text=" Анікєєв">
      <formula>NOT(ISERROR(SEARCH(" Анікєєв",D12)))</formula>
    </cfRule>
  </conditionalFormatting>
  <conditionalFormatting sqref="F15:X19 D16:E19 M13:X14 D13:L13">
    <cfRule type="containsText" dxfId="262" priority="13" operator="containsText" text=" Анікєєв">
      <formula>NOT(ISERROR(SEARCH(" Анікєєв",D13)))</formula>
    </cfRule>
  </conditionalFormatting>
  <conditionalFormatting sqref="D20:X25">
    <cfRule type="containsText" dxfId="261" priority="12" operator="containsText" text=" Анікєєв">
      <formula>NOT(ISERROR(SEARCH(" Анікєєв",D20)))</formula>
    </cfRule>
  </conditionalFormatting>
  <conditionalFormatting sqref="D31:X32 F27:X30 D27:E27 D29:E29">
    <cfRule type="containsText" dxfId="260" priority="11" operator="containsText" text=" Анікєєв">
      <formula>NOT(ISERROR(SEARCH(" Анікєєв",D27)))</formula>
    </cfRule>
  </conditionalFormatting>
  <conditionalFormatting sqref="D34 M34:X34">
    <cfRule type="containsText" dxfId="259" priority="10" operator="containsText" text=" Анікєєв">
      <formula>NOT(ISERROR(SEARCH(" Анікєєв",D34)))</formula>
    </cfRule>
  </conditionalFormatting>
  <conditionalFormatting sqref="D33:X33">
    <cfRule type="containsText" dxfId="258" priority="9" operator="containsText" text=" Анікєєв">
      <formula>NOT(ISERROR(SEARCH(" Анікєєв",D33)))</formula>
    </cfRule>
  </conditionalFormatting>
  <conditionalFormatting sqref="C34:C40">
    <cfRule type="containsText" dxfId="257" priority="8" operator="containsText" text=" Анікєєв">
      <formula>NOT(ISERROR(SEARCH(" Анікєєв",C34)))</formula>
    </cfRule>
  </conditionalFormatting>
  <conditionalFormatting sqref="B41:Y41">
    <cfRule type="containsText" dxfId="256" priority="7" operator="containsText" text=" Анікєєв">
      <formula>NOT(ISERROR(SEARCH(" Анікєєв",B41)))</formula>
    </cfRule>
  </conditionalFormatting>
  <conditionalFormatting sqref="E7:I7 L7:M7">
    <cfRule type="containsText" dxfId="255" priority="6" operator="containsText" text=" Анікєєв">
      <formula>NOT(ISERROR(SEARCH(" Анікєєв",E7)))</formula>
    </cfRule>
  </conditionalFormatting>
  <conditionalFormatting sqref="E9:M9">
    <cfRule type="containsText" dxfId="254" priority="5" operator="containsText" text=" Анікєєв">
      <formula>NOT(ISERROR(SEARCH(" Анікєєв",E9)))</formula>
    </cfRule>
  </conditionalFormatting>
  <conditionalFormatting sqref="E34:I34 K34:L34">
    <cfRule type="containsText" dxfId="253" priority="4" operator="containsText" text=" Анікєєв">
      <formula>NOT(ISERROR(SEARCH(" Анікєєв",E34)))</formula>
    </cfRule>
  </conditionalFormatting>
  <conditionalFormatting sqref="J8">
    <cfRule type="containsText" dxfId="252" priority="2" operator="containsText" text=" Анікєєв">
      <formula>NOT(ISERROR(SEARCH(" Анікєєв",J8)))</formula>
    </cfRule>
  </conditionalFormatting>
  <conditionalFormatting sqref="K8">
    <cfRule type="containsText" dxfId="251" priority="3" operator="containsText" text=" Анікєєв">
      <formula>NOT(ISERROR(SEARCH(" Анікєєв",K8)))</formula>
    </cfRule>
  </conditionalFormatting>
  <conditionalFormatting sqref="J34">
    <cfRule type="containsText" dxfId="250" priority="1" operator="containsText" text=" Анікєєв">
      <formula>NOT(ISERROR(SEARCH(" Анікєєв",J34)))</formula>
    </cfRule>
  </conditionalFormatting>
  <dataValidations count="1">
    <dataValidation allowBlank="1" showInputMessage="1" sqref="G6:I47 J6:K7 J9:K47 L6:Y47" xr:uid="{00000000-0002-0000-0100-000000000000}"/>
  </dataValidations>
  <pageMargins left="0.70866141732283472" right="0.70866141732283472" top="0.74803149606299213" bottom="0.74803149606299213" header="0.31496062992125984" footer="0.31496062992125984"/>
  <pageSetup paperSize="9" scale="41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6">
    <pageSetUpPr fitToPage="1"/>
  </sheetPr>
  <dimension ref="A1:Y70"/>
  <sheetViews>
    <sheetView zoomScale="80" zoomScaleNormal="80" workbookViewId="0">
      <pane xSplit="6" ySplit="5" topLeftCell="G6" activePane="bottomRight" state="frozenSplit"/>
      <selection pane="topRight" activeCell="G1" sqref="G1"/>
      <selection pane="bottomLeft" activeCell="A20" sqref="A20"/>
      <selection pane="bottomRight" activeCell="L20" sqref="L20"/>
    </sheetView>
  </sheetViews>
  <sheetFormatPr defaultRowHeight="15" x14ac:dyDescent="0.25"/>
  <cols>
    <col min="1" max="1" width="23.7109375" customWidth="1"/>
    <col min="2" max="2" width="11.85546875" customWidth="1"/>
    <col min="3" max="6" width="25.7109375" hidden="1" customWidth="1"/>
    <col min="7" max="9" width="25.7109375" bestFit="1" customWidth="1"/>
    <col min="10" max="10" width="24.28515625" bestFit="1" customWidth="1"/>
    <col min="11" max="12" width="25.7109375" bestFit="1" customWidth="1"/>
    <col min="13" max="15" width="24.28515625" bestFit="1" customWidth="1"/>
    <col min="16" max="16" width="24.140625" customWidth="1"/>
    <col min="17" max="19" width="24.28515625" bestFit="1" customWidth="1"/>
    <col min="20" max="21" width="27.5703125" bestFit="1" customWidth="1"/>
    <col min="22" max="22" width="25" customWidth="1"/>
    <col min="23" max="23" width="25" bestFit="1" customWidth="1"/>
    <col min="24" max="24" width="25" customWidth="1"/>
    <col min="25" max="25" width="25" bestFit="1" customWidth="1"/>
  </cols>
  <sheetData>
    <row r="1" spans="1:25" ht="15" customHeight="1" x14ac:dyDescent="0.25">
      <c r="A1" s="189"/>
      <c r="B1" s="189"/>
      <c r="C1" s="189"/>
      <c r="D1" s="189"/>
      <c r="E1" s="189"/>
      <c r="F1" s="189"/>
      <c r="G1" s="189"/>
      <c r="H1" s="189"/>
      <c r="I1" s="189"/>
      <c r="J1" s="9"/>
      <c r="K1" s="9"/>
      <c r="L1" s="9"/>
      <c r="M1" s="9"/>
      <c r="N1" s="9"/>
      <c r="O1" s="9"/>
      <c r="P1" s="9"/>
      <c r="Q1" s="9"/>
      <c r="R1" s="9"/>
    </row>
    <row r="2" spans="1:25" x14ac:dyDescent="0.25">
      <c r="A2" s="189"/>
      <c r="B2" s="189"/>
      <c r="C2" s="189"/>
      <c r="D2" s="189"/>
      <c r="E2" s="189"/>
      <c r="F2" s="189"/>
      <c r="G2" s="189"/>
      <c r="H2" s="189"/>
      <c r="I2" s="189"/>
      <c r="J2" s="9"/>
      <c r="K2" s="9"/>
      <c r="L2" s="9"/>
      <c r="M2" s="9"/>
      <c r="N2" s="9"/>
      <c r="O2" s="9"/>
      <c r="P2" s="9"/>
      <c r="Q2" s="9"/>
      <c r="R2" s="9"/>
    </row>
    <row r="3" spans="1:25" ht="15.75" thickBot="1" x14ac:dyDescent="0.3">
      <c r="A3" s="190"/>
      <c r="B3" s="190"/>
      <c r="C3" s="190"/>
      <c r="D3" s="190"/>
      <c r="E3" s="190"/>
      <c r="F3" s="190"/>
      <c r="G3" s="190"/>
      <c r="H3" s="190"/>
      <c r="I3" s="190"/>
      <c r="J3" s="9"/>
      <c r="K3" s="9"/>
      <c r="L3" s="9"/>
      <c r="M3" s="9"/>
      <c r="N3" s="9"/>
      <c r="O3" s="9"/>
      <c r="P3" s="9"/>
      <c r="Q3" s="9"/>
      <c r="R3" s="9"/>
    </row>
    <row r="4" spans="1:25" s="113" customFormat="1" ht="22.5" thickTop="1" thickBot="1" x14ac:dyDescent="0.35">
      <c r="A4" s="191" t="s">
        <v>13</v>
      </c>
      <c r="B4" s="192"/>
      <c r="C4" s="1">
        <v>1</v>
      </c>
      <c r="D4" s="1">
        <v>2</v>
      </c>
      <c r="E4" s="1">
        <v>3</v>
      </c>
      <c r="F4" s="1">
        <v>4</v>
      </c>
      <c r="G4" s="1">
        <v>5</v>
      </c>
      <c r="H4" s="1">
        <v>6</v>
      </c>
      <c r="I4" s="1">
        <v>7</v>
      </c>
      <c r="J4" s="1">
        <v>8</v>
      </c>
      <c r="K4" s="1">
        <v>9</v>
      </c>
      <c r="L4" s="1">
        <v>10</v>
      </c>
      <c r="M4" s="1">
        <v>11</v>
      </c>
      <c r="N4" s="1">
        <v>12</v>
      </c>
      <c r="O4" s="1">
        <v>13</v>
      </c>
      <c r="P4" s="1">
        <v>14</v>
      </c>
      <c r="Q4" s="1">
        <v>15</v>
      </c>
      <c r="R4" s="1">
        <v>16</v>
      </c>
      <c r="S4" s="1">
        <v>17</v>
      </c>
      <c r="T4" s="112">
        <v>18</v>
      </c>
      <c r="U4" s="112">
        <v>19</v>
      </c>
      <c r="V4" s="112">
        <v>20</v>
      </c>
      <c r="W4" s="112">
        <v>21</v>
      </c>
      <c r="X4" s="112">
        <v>22</v>
      </c>
      <c r="Y4" s="112">
        <v>23</v>
      </c>
    </row>
    <row r="5" spans="1:25" ht="21.75" thickTop="1" thickBot="1" x14ac:dyDescent="0.35">
      <c r="A5" s="2" t="s">
        <v>0</v>
      </c>
      <c r="B5" s="3" t="s">
        <v>1</v>
      </c>
      <c r="C5" s="4" t="s">
        <v>49</v>
      </c>
      <c r="D5" s="4" t="s">
        <v>50</v>
      </c>
      <c r="E5" s="4" t="s">
        <v>51</v>
      </c>
      <c r="F5" s="4" t="s">
        <v>52</v>
      </c>
      <c r="G5" s="4" t="s">
        <v>48</v>
      </c>
      <c r="H5" s="4" t="s">
        <v>47</v>
      </c>
      <c r="I5" s="4" t="s">
        <v>46</v>
      </c>
      <c r="J5" s="4" t="s">
        <v>45</v>
      </c>
      <c r="K5" s="4" t="s">
        <v>53</v>
      </c>
      <c r="L5" s="4" t="s">
        <v>54</v>
      </c>
      <c r="M5" s="4" t="s">
        <v>61</v>
      </c>
      <c r="N5" s="4" t="s">
        <v>60</v>
      </c>
      <c r="O5" s="4" t="s">
        <v>59</v>
      </c>
      <c r="P5" s="4" t="s">
        <v>58</v>
      </c>
      <c r="Q5" s="4" t="s">
        <v>57</v>
      </c>
      <c r="R5" s="4" t="s">
        <v>56</v>
      </c>
      <c r="S5" s="4" t="s">
        <v>55</v>
      </c>
      <c r="T5" s="114"/>
      <c r="U5" s="114"/>
      <c r="V5" s="114"/>
      <c r="W5" s="114"/>
      <c r="X5" s="114"/>
      <c r="Y5" s="114"/>
    </row>
    <row r="6" spans="1:25" s="8" customFormat="1" ht="16.149999999999999" customHeight="1" thickTop="1" thickBot="1" x14ac:dyDescent="0.3">
      <c r="A6" s="193" t="s">
        <v>2</v>
      </c>
      <c r="B6" s="115" t="s">
        <v>10</v>
      </c>
      <c r="C6" s="65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7"/>
      <c r="U6" s="67"/>
      <c r="V6" s="67"/>
      <c r="W6" s="67"/>
      <c r="X6" s="67"/>
      <c r="Y6" s="67"/>
    </row>
    <row r="7" spans="1:25" s="8" customFormat="1" ht="16.149999999999999" customHeight="1" thickTop="1" thickBot="1" x14ac:dyDescent="0.3">
      <c r="A7" s="193"/>
      <c r="B7" s="116" t="s">
        <v>11</v>
      </c>
      <c r="C7" s="68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69"/>
      <c r="S7" s="69"/>
      <c r="T7" s="70"/>
      <c r="U7" s="70"/>
      <c r="V7" s="70"/>
      <c r="W7" s="70"/>
      <c r="X7" s="70"/>
      <c r="Y7" s="71"/>
    </row>
    <row r="8" spans="1:25" s="8" customFormat="1" ht="16.149999999999999" customHeight="1" thickTop="1" thickBot="1" x14ac:dyDescent="0.3">
      <c r="A8" s="193"/>
      <c r="B8" s="116" t="s">
        <v>12</v>
      </c>
      <c r="C8" s="68"/>
      <c r="D8" s="68"/>
      <c r="E8" s="72"/>
      <c r="F8" s="68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3"/>
      <c r="U8" s="73"/>
      <c r="V8" s="73"/>
      <c r="W8" s="73"/>
      <c r="X8" s="73"/>
      <c r="Y8" s="71"/>
    </row>
    <row r="9" spans="1:25" s="8" customFormat="1" ht="16.149999999999999" customHeight="1" thickTop="1" thickBot="1" x14ac:dyDescent="0.3">
      <c r="A9" s="193"/>
      <c r="B9" s="116" t="s">
        <v>7</v>
      </c>
      <c r="C9" s="68"/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3"/>
      <c r="U9" s="73"/>
      <c r="V9" s="73"/>
      <c r="W9" s="73"/>
      <c r="X9" s="73"/>
      <c r="Y9" s="71"/>
    </row>
    <row r="10" spans="1:25" s="8" customFormat="1" ht="16.149999999999999" customHeight="1" thickTop="1" thickBot="1" x14ac:dyDescent="0.3">
      <c r="A10" s="193"/>
      <c r="B10" s="116" t="s">
        <v>8</v>
      </c>
      <c r="C10" s="68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3"/>
      <c r="U10" s="73"/>
      <c r="V10" s="73"/>
      <c r="W10" s="73"/>
      <c r="X10" s="73"/>
      <c r="Y10" s="71"/>
    </row>
    <row r="11" spans="1:25" s="8" customFormat="1" ht="16.149999999999999" customHeight="1" thickTop="1" thickBot="1" x14ac:dyDescent="0.3">
      <c r="A11" s="193"/>
      <c r="B11" s="117" t="s">
        <v>9</v>
      </c>
      <c r="C11" s="74"/>
      <c r="D11" s="75"/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6"/>
      <c r="U11" s="76"/>
      <c r="V11" s="76"/>
      <c r="W11" s="76"/>
      <c r="X11" s="76"/>
      <c r="Y11" s="77"/>
    </row>
    <row r="12" spans="1:25" s="11" customFormat="1" ht="16.149999999999999" customHeight="1" thickTop="1" thickBot="1" x14ac:dyDescent="0.3">
      <c r="A12" s="193"/>
      <c r="B12" s="118" t="s">
        <v>14</v>
      </c>
      <c r="C12" s="78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80"/>
      <c r="U12" s="80"/>
      <c r="V12" s="80"/>
      <c r="W12" s="80"/>
      <c r="X12" s="80"/>
      <c r="Y12" s="81"/>
    </row>
    <row r="13" spans="1:25" s="11" customFormat="1" ht="16.149999999999999" customHeight="1" thickTop="1" thickBot="1" x14ac:dyDescent="0.3">
      <c r="A13" s="194" t="s">
        <v>3</v>
      </c>
      <c r="B13" s="97" t="s">
        <v>10</v>
      </c>
      <c r="C13" s="82" t="s">
        <v>149</v>
      </c>
      <c r="D13" s="82" t="s">
        <v>149</v>
      </c>
      <c r="E13" s="83"/>
      <c r="F13" s="83"/>
      <c r="G13" s="83"/>
      <c r="H13" s="83"/>
      <c r="I13" s="83"/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4"/>
      <c r="U13" s="84"/>
      <c r="V13" s="84"/>
      <c r="W13" s="84"/>
      <c r="X13" s="84"/>
      <c r="Y13" s="85"/>
    </row>
    <row r="14" spans="1:25" s="11" customFormat="1" ht="16.5" thickTop="1" thickBot="1" x14ac:dyDescent="0.3">
      <c r="A14" s="194"/>
      <c r="B14" s="119" t="s">
        <v>11</v>
      </c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8"/>
      <c r="U14" s="88"/>
      <c r="V14" s="88"/>
      <c r="W14" s="88"/>
      <c r="X14" s="88"/>
      <c r="Y14" s="71"/>
    </row>
    <row r="15" spans="1:25" s="11" customFormat="1" ht="16.5" thickTop="1" thickBot="1" x14ac:dyDescent="0.3">
      <c r="A15" s="194"/>
      <c r="B15" s="119" t="s">
        <v>12</v>
      </c>
      <c r="C15" s="86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73"/>
      <c r="U15" s="73"/>
      <c r="V15" s="73"/>
      <c r="W15" s="73"/>
      <c r="X15" s="73"/>
      <c r="Y15" s="71"/>
    </row>
    <row r="16" spans="1:25" s="11" customFormat="1" ht="16.149999999999999" customHeight="1" thickTop="1" thickBot="1" x14ac:dyDescent="0.3">
      <c r="A16" s="194"/>
      <c r="B16" s="119" t="s">
        <v>7</v>
      </c>
      <c r="C16" s="86"/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8"/>
      <c r="U16" s="88"/>
      <c r="V16" s="88"/>
      <c r="W16" s="88"/>
      <c r="X16" s="88"/>
      <c r="Y16" s="71"/>
    </row>
    <row r="17" spans="1:25" s="11" customFormat="1" ht="16.149999999999999" customHeight="1" thickTop="1" thickBot="1" x14ac:dyDescent="0.3">
      <c r="A17" s="194"/>
      <c r="B17" s="119" t="s">
        <v>8</v>
      </c>
      <c r="C17" s="86"/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8"/>
      <c r="U17" s="88"/>
      <c r="V17" s="88"/>
      <c r="W17" s="88"/>
      <c r="X17" s="88"/>
      <c r="Y17" s="71"/>
    </row>
    <row r="18" spans="1:25" s="8" customFormat="1" ht="16.149999999999999" customHeight="1" thickTop="1" thickBot="1" x14ac:dyDescent="0.3">
      <c r="A18" s="194"/>
      <c r="B18" s="120" t="s">
        <v>9</v>
      </c>
      <c r="C18" s="86"/>
      <c r="D18" s="91"/>
      <c r="E18" s="91"/>
      <c r="F18" s="91"/>
      <c r="G18" s="91"/>
      <c r="H18" s="91"/>
      <c r="I18" s="91"/>
      <c r="J18" s="91"/>
      <c r="K18" s="91"/>
      <c r="L18" s="91"/>
      <c r="M18" s="91"/>
      <c r="N18" s="91"/>
      <c r="O18" s="91"/>
      <c r="P18" s="91"/>
      <c r="Q18" s="91"/>
      <c r="R18" s="91"/>
      <c r="S18" s="91"/>
      <c r="T18" s="92"/>
      <c r="U18" s="92"/>
      <c r="V18" s="92"/>
      <c r="W18" s="92"/>
      <c r="X18" s="92"/>
      <c r="Y18" s="77"/>
    </row>
    <row r="19" spans="1:25" s="8" customFormat="1" ht="16.149999999999999" customHeight="1" thickTop="1" thickBot="1" x14ac:dyDescent="0.3">
      <c r="A19" s="194"/>
      <c r="B19" s="121" t="s">
        <v>14</v>
      </c>
      <c r="C19" s="93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80"/>
      <c r="U19" s="80"/>
      <c r="V19" s="80"/>
      <c r="W19" s="80"/>
      <c r="X19" s="80"/>
      <c r="Y19" s="81"/>
    </row>
    <row r="20" spans="1:25" s="8" customFormat="1" ht="16.149999999999999" customHeight="1" thickTop="1" thickBot="1" x14ac:dyDescent="0.3">
      <c r="A20" s="193" t="s">
        <v>4</v>
      </c>
      <c r="B20" s="115" t="s">
        <v>10</v>
      </c>
      <c r="C20" s="95" t="s">
        <v>78</v>
      </c>
      <c r="D20" s="95" t="s">
        <v>78</v>
      </c>
      <c r="E20" s="95" t="s">
        <v>78</v>
      </c>
      <c r="F20" s="95" t="s">
        <v>78</v>
      </c>
      <c r="G20" s="95" t="s">
        <v>78</v>
      </c>
      <c r="H20" s="95" t="s">
        <v>78</v>
      </c>
      <c r="I20" s="95" t="s">
        <v>78</v>
      </c>
      <c r="J20" s="95" t="s">
        <v>78</v>
      </c>
      <c r="K20" s="95" t="s">
        <v>78</v>
      </c>
      <c r="L20" s="95" t="s">
        <v>78</v>
      </c>
      <c r="M20" s="95"/>
      <c r="N20" s="95"/>
      <c r="O20" s="95"/>
      <c r="P20" s="95"/>
      <c r="Q20" s="95"/>
      <c r="R20" s="95"/>
      <c r="S20" s="95"/>
      <c r="T20" s="84"/>
      <c r="U20" s="84"/>
      <c r="V20" s="84"/>
      <c r="W20" s="84"/>
      <c r="X20" s="84"/>
      <c r="Y20" s="85"/>
    </row>
    <row r="21" spans="1:25" s="8" customFormat="1" ht="16.149999999999999" customHeight="1" thickTop="1" thickBot="1" x14ac:dyDescent="0.3">
      <c r="A21" s="193"/>
      <c r="B21" s="116" t="s">
        <v>11</v>
      </c>
      <c r="C21" s="96" t="s">
        <v>79</v>
      </c>
      <c r="D21" s="96" t="s">
        <v>79</v>
      </c>
      <c r="E21" s="96" t="s">
        <v>79</v>
      </c>
      <c r="F21" s="96" t="s">
        <v>79</v>
      </c>
      <c r="G21" s="96" t="s">
        <v>79</v>
      </c>
      <c r="H21" s="96" t="s">
        <v>79</v>
      </c>
      <c r="I21" s="96" t="s">
        <v>79</v>
      </c>
      <c r="J21" s="96" t="s">
        <v>79</v>
      </c>
      <c r="K21" s="96" t="s">
        <v>79</v>
      </c>
      <c r="L21" s="96" t="s">
        <v>79</v>
      </c>
      <c r="M21" s="96"/>
      <c r="N21" s="96"/>
      <c r="O21" s="96"/>
      <c r="P21" s="96"/>
      <c r="Q21" s="96"/>
      <c r="R21" s="96"/>
      <c r="S21" s="96"/>
      <c r="T21" s="88"/>
      <c r="U21" s="88"/>
      <c r="V21" s="88"/>
      <c r="W21" s="88"/>
      <c r="X21" s="88"/>
      <c r="Y21" s="71"/>
    </row>
    <row r="22" spans="1:25" s="8" customFormat="1" ht="16.149999999999999" customHeight="1" thickTop="1" thickBot="1" x14ac:dyDescent="0.3">
      <c r="A22" s="193"/>
      <c r="B22" s="116" t="s">
        <v>12</v>
      </c>
      <c r="C22" s="68"/>
      <c r="D22" s="68"/>
      <c r="E22" s="96"/>
      <c r="F22" s="96"/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88"/>
      <c r="U22" s="88"/>
      <c r="V22" s="88"/>
      <c r="W22" s="88"/>
      <c r="X22" s="88"/>
      <c r="Y22" s="71"/>
    </row>
    <row r="23" spans="1:25" s="8" customFormat="1" ht="16.149999999999999" customHeight="1" thickTop="1" thickBot="1" x14ac:dyDescent="0.3">
      <c r="A23" s="193"/>
      <c r="B23" s="116" t="s">
        <v>7</v>
      </c>
      <c r="C23" s="68"/>
      <c r="D23" s="68"/>
      <c r="E23" s="96"/>
      <c r="F23" s="96"/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88"/>
      <c r="U23" s="88"/>
      <c r="V23" s="88"/>
      <c r="W23" s="88"/>
      <c r="X23" s="88"/>
      <c r="Y23" s="71"/>
    </row>
    <row r="24" spans="1:25" s="8" customFormat="1" ht="16.149999999999999" customHeight="1" thickTop="1" thickBot="1" x14ac:dyDescent="0.3">
      <c r="A24" s="193"/>
      <c r="B24" s="116" t="s">
        <v>8</v>
      </c>
      <c r="C24" s="68"/>
      <c r="D24" s="68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3"/>
      <c r="U24" s="73"/>
      <c r="V24" s="73"/>
      <c r="W24" s="73"/>
      <c r="X24" s="73"/>
      <c r="Y24" s="71"/>
    </row>
    <row r="25" spans="1:25" s="11" customFormat="1" ht="16.149999999999999" customHeight="1" thickTop="1" thickBot="1" x14ac:dyDescent="0.3">
      <c r="A25" s="193"/>
      <c r="B25" s="116" t="s">
        <v>9</v>
      </c>
      <c r="C25" s="68"/>
      <c r="D25" s="68"/>
      <c r="E25" s="96"/>
      <c r="F25" s="96"/>
      <c r="G25" s="96"/>
      <c r="H25" s="96"/>
      <c r="I25" s="96"/>
      <c r="J25" s="96"/>
      <c r="K25" s="96"/>
      <c r="L25" s="96"/>
      <c r="M25" s="96"/>
      <c r="N25" s="96"/>
      <c r="O25" s="96"/>
      <c r="P25" s="96"/>
      <c r="Q25" s="96"/>
      <c r="R25" s="96"/>
      <c r="S25" s="96"/>
      <c r="T25" s="88"/>
      <c r="U25" s="88"/>
      <c r="V25" s="88"/>
      <c r="W25" s="88"/>
      <c r="X25" s="88"/>
      <c r="Y25" s="71"/>
    </row>
    <row r="26" spans="1:25" s="11" customFormat="1" ht="16.149999999999999" customHeight="1" thickTop="1" thickBot="1" x14ac:dyDescent="0.3">
      <c r="A26" s="193"/>
      <c r="B26" s="118" t="s">
        <v>14</v>
      </c>
      <c r="C26" s="78"/>
      <c r="D26" s="78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80"/>
      <c r="U26" s="80"/>
      <c r="V26" s="80"/>
      <c r="W26" s="80"/>
      <c r="X26" s="80"/>
      <c r="Y26" s="81"/>
    </row>
    <row r="27" spans="1:25" s="11" customFormat="1" ht="16.149999999999999" customHeight="1" thickTop="1" thickBot="1" x14ac:dyDescent="0.3">
      <c r="A27" s="194" t="s">
        <v>5</v>
      </c>
      <c r="B27" s="97" t="s">
        <v>10</v>
      </c>
      <c r="C27" s="97"/>
      <c r="D27" s="97"/>
      <c r="E27" s="98"/>
      <c r="F27" s="98"/>
      <c r="G27" s="98"/>
      <c r="H27" s="98"/>
      <c r="I27" s="98"/>
      <c r="J27" s="98"/>
      <c r="K27" s="98"/>
      <c r="L27" s="98"/>
      <c r="M27" s="98"/>
      <c r="N27" s="98"/>
      <c r="O27" s="98"/>
      <c r="P27" s="98"/>
      <c r="Q27" s="98"/>
      <c r="R27" s="98"/>
      <c r="S27" s="98"/>
      <c r="T27" s="67"/>
      <c r="U27" s="67"/>
      <c r="V27" s="67"/>
      <c r="W27" s="67"/>
      <c r="X27" s="67"/>
      <c r="Y27" s="85"/>
    </row>
    <row r="28" spans="1:25" s="11" customFormat="1" ht="16.149999999999999" customHeight="1" thickTop="1" thickBot="1" x14ac:dyDescent="0.3">
      <c r="A28" s="194"/>
      <c r="B28" s="119" t="s">
        <v>11</v>
      </c>
      <c r="C28" s="86"/>
      <c r="D28" s="86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7"/>
      <c r="S28" s="87"/>
      <c r="T28" s="88"/>
      <c r="U28" s="88"/>
      <c r="V28" s="88"/>
      <c r="W28" s="88"/>
      <c r="X28" s="88"/>
      <c r="Y28" s="71"/>
    </row>
    <row r="29" spans="1:25" s="11" customFormat="1" ht="16.149999999999999" customHeight="1" thickTop="1" thickBot="1" x14ac:dyDescent="0.3">
      <c r="A29" s="194"/>
      <c r="B29" s="119" t="s">
        <v>12</v>
      </c>
      <c r="C29" s="86"/>
      <c r="D29" s="86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8"/>
      <c r="U29" s="88"/>
      <c r="V29" s="88"/>
      <c r="W29" s="88"/>
      <c r="X29" s="88"/>
      <c r="Y29" s="71"/>
    </row>
    <row r="30" spans="1:25" s="11" customFormat="1" ht="16.149999999999999" customHeight="1" thickTop="1" thickBot="1" x14ac:dyDescent="0.3">
      <c r="A30" s="194"/>
      <c r="B30" s="119" t="s">
        <v>7</v>
      </c>
      <c r="C30" s="99"/>
      <c r="D30" s="99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90"/>
      <c r="S30" s="90"/>
      <c r="T30" s="73"/>
      <c r="U30" s="73"/>
      <c r="V30" s="73"/>
      <c r="W30" s="73"/>
      <c r="X30" s="73"/>
      <c r="Y30" s="71"/>
    </row>
    <row r="31" spans="1:25" s="11" customFormat="1" ht="16.149999999999999" customHeight="1" thickTop="1" thickBot="1" x14ac:dyDescent="0.3">
      <c r="A31" s="194"/>
      <c r="B31" s="119" t="s">
        <v>8</v>
      </c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90"/>
      <c r="S31" s="90"/>
      <c r="T31" s="73"/>
      <c r="U31" s="73"/>
      <c r="V31" s="73"/>
      <c r="W31" s="73"/>
      <c r="X31" s="73"/>
      <c r="Y31" s="100"/>
    </row>
    <row r="32" spans="1:25" s="8" customFormat="1" ht="16.149999999999999" customHeight="1" thickTop="1" thickBot="1" x14ac:dyDescent="0.3">
      <c r="A32" s="194"/>
      <c r="B32" s="120" t="s">
        <v>9</v>
      </c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73"/>
      <c r="U32" s="73"/>
      <c r="V32" s="73"/>
      <c r="W32" s="73"/>
      <c r="X32" s="73"/>
      <c r="Y32" s="101"/>
    </row>
    <row r="33" spans="1:25" s="8" customFormat="1" ht="16.5" thickTop="1" thickBot="1" x14ac:dyDescent="0.3">
      <c r="A33" s="194"/>
      <c r="B33" s="121" t="s">
        <v>14</v>
      </c>
      <c r="C33" s="90"/>
      <c r="D33" s="90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88"/>
      <c r="U33" s="88"/>
      <c r="V33" s="88"/>
      <c r="W33" s="88"/>
      <c r="X33" s="88"/>
      <c r="Y33" s="81"/>
    </row>
    <row r="34" spans="1:25" s="8" customFormat="1" ht="16.149999999999999" customHeight="1" thickTop="1" thickBot="1" x14ac:dyDescent="0.3">
      <c r="A34" s="188" t="s">
        <v>6</v>
      </c>
      <c r="B34" s="115" t="s">
        <v>10</v>
      </c>
      <c r="C34" s="95" t="s">
        <v>79</v>
      </c>
      <c r="D34" s="95" t="s">
        <v>79</v>
      </c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84"/>
      <c r="U34" s="84"/>
      <c r="V34" s="84"/>
      <c r="W34" s="84"/>
      <c r="X34" s="84"/>
      <c r="Y34" s="85"/>
    </row>
    <row r="35" spans="1:25" s="8" customFormat="1" ht="16.149999999999999" customHeight="1" thickTop="1" thickBot="1" x14ac:dyDescent="0.3">
      <c r="A35" s="188"/>
      <c r="B35" s="116" t="s">
        <v>11</v>
      </c>
      <c r="C35" s="96" t="s">
        <v>78</v>
      </c>
      <c r="D35" s="96" t="s">
        <v>78</v>
      </c>
      <c r="E35" s="96"/>
      <c r="F35" s="96"/>
      <c r="G35" s="96"/>
      <c r="H35" s="96"/>
      <c r="I35" s="96"/>
      <c r="J35" s="96"/>
      <c r="K35" s="96"/>
      <c r="L35" s="96"/>
      <c r="M35" s="96"/>
      <c r="N35" s="96"/>
      <c r="O35" s="96"/>
      <c r="P35" s="96"/>
      <c r="Q35" s="96"/>
      <c r="R35" s="96"/>
      <c r="S35" s="96"/>
      <c r="T35" s="88"/>
      <c r="U35" s="88"/>
      <c r="V35" s="88"/>
      <c r="W35" s="88"/>
      <c r="X35" s="88"/>
      <c r="Y35" s="71"/>
    </row>
    <row r="36" spans="1:25" s="8" customFormat="1" ht="16.149999999999999" customHeight="1" thickTop="1" thickBot="1" x14ac:dyDescent="0.3">
      <c r="A36" s="188"/>
      <c r="B36" s="116" t="s">
        <v>12</v>
      </c>
      <c r="C36" s="69"/>
      <c r="D36" s="69"/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69"/>
      <c r="S36" s="69"/>
      <c r="T36" s="70"/>
      <c r="U36" s="70"/>
      <c r="V36" s="70"/>
      <c r="W36" s="70"/>
      <c r="X36" s="70"/>
      <c r="Y36" s="71"/>
    </row>
    <row r="37" spans="1:25" ht="16.149999999999999" customHeight="1" thickTop="1" thickBot="1" x14ac:dyDescent="0.3">
      <c r="A37" s="188"/>
      <c r="B37" s="116" t="s">
        <v>7</v>
      </c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96" t="s">
        <v>44</v>
      </c>
      <c r="T37" s="73"/>
      <c r="U37" s="73"/>
      <c r="V37" s="73"/>
      <c r="W37" s="73"/>
      <c r="X37" s="73"/>
      <c r="Y37" s="100"/>
    </row>
    <row r="38" spans="1:25" ht="16.149999999999999" customHeight="1" thickTop="1" thickBot="1" x14ac:dyDescent="0.3">
      <c r="A38" s="188"/>
      <c r="B38" s="116" t="s">
        <v>8</v>
      </c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3"/>
      <c r="U38" s="73"/>
      <c r="V38" s="73"/>
      <c r="W38" s="73"/>
      <c r="X38" s="73"/>
      <c r="Y38" s="71"/>
    </row>
    <row r="39" spans="1:25" ht="16.149999999999999" customHeight="1" thickTop="1" thickBot="1" x14ac:dyDescent="0.3">
      <c r="A39" s="188"/>
      <c r="B39" s="117" t="s">
        <v>9</v>
      </c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6"/>
      <c r="U39" s="76"/>
      <c r="V39" s="76"/>
      <c r="W39" s="76"/>
      <c r="X39" s="76"/>
      <c r="Y39" s="77"/>
    </row>
    <row r="40" spans="1:25" ht="16.149999999999999" customHeight="1" thickTop="1" thickBot="1" x14ac:dyDescent="0.3">
      <c r="A40" s="188"/>
      <c r="B40" s="118" t="s">
        <v>14</v>
      </c>
      <c r="C40" s="102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3"/>
      <c r="S40" s="103"/>
      <c r="T40" s="104"/>
      <c r="U40" s="104"/>
      <c r="V40" s="104"/>
      <c r="W40" s="104"/>
      <c r="X40" s="104"/>
      <c r="Y40" s="105"/>
    </row>
    <row r="41" spans="1:25" ht="16.149999999999999" customHeight="1" thickTop="1" thickBot="1" x14ac:dyDescent="0.3">
      <c r="A41" s="188" t="s">
        <v>24</v>
      </c>
      <c r="B41" s="106" t="s">
        <v>10</v>
      </c>
      <c r="C41" s="106"/>
      <c r="D41" s="106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84"/>
      <c r="U41" s="84"/>
      <c r="V41" s="84"/>
      <c r="W41" s="84"/>
      <c r="X41" s="84"/>
      <c r="Y41" s="84"/>
    </row>
    <row r="42" spans="1:25" ht="16.149999999999999" customHeight="1" thickTop="1" thickBot="1" x14ac:dyDescent="0.3">
      <c r="A42" s="188"/>
      <c r="B42" s="107" t="s">
        <v>11</v>
      </c>
      <c r="C42" s="107"/>
      <c r="D42" s="107"/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88"/>
      <c r="U42" s="88"/>
      <c r="V42" s="88"/>
      <c r="W42" s="88"/>
      <c r="X42" s="88"/>
      <c r="Y42" s="88"/>
    </row>
    <row r="43" spans="1:25" ht="16.149999999999999" customHeight="1" thickTop="1" thickBot="1" x14ac:dyDescent="0.3">
      <c r="A43" s="188"/>
      <c r="B43" s="107" t="s">
        <v>12</v>
      </c>
      <c r="C43" s="108"/>
      <c r="D43" s="108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69"/>
      <c r="Q43" s="69"/>
      <c r="R43" s="69"/>
      <c r="S43" s="69"/>
      <c r="T43" s="70"/>
      <c r="U43" s="70"/>
      <c r="V43" s="70"/>
      <c r="W43" s="70"/>
      <c r="X43" s="70"/>
      <c r="Y43" s="70"/>
    </row>
    <row r="44" spans="1:25" ht="16.5" thickTop="1" thickBot="1" x14ac:dyDescent="0.3">
      <c r="A44" s="188"/>
      <c r="B44" s="109" t="s">
        <v>7</v>
      </c>
      <c r="C44" s="109"/>
      <c r="D44" s="109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3"/>
      <c r="U44" s="73"/>
      <c r="V44" s="73"/>
      <c r="W44" s="73"/>
      <c r="X44" s="73"/>
      <c r="Y44" s="73"/>
    </row>
    <row r="45" spans="1:25" ht="16.5" thickTop="1" thickBot="1" x14ac:dyDescent="0.3">
      <c r="A45" s="188"/>
      <c r="B45" s="109" t="s">
        <v>8</v>
      </c>
      <c r="C45" s="109"/>
      <c r="D45" s="109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3"/>
      <c r="U45" s="73"/>
      <c r="V45" s="73"/>
      <c r="W45" s="73"/>
      <c r="X45" s="73"/>
      <c r="Y45" s="73"/>
    </row>
    <row r="46" spans="1:25" ht="16.5" thickTop="1" thickBot="1" x14ac:dyDescent="0.3">
      <c r="A46" s="188"/>
      <c r="B46" s="110" t="s">
        <v>9</v>
      </c>
      <c r="C46" s="110"/>
      <c r="D46" s="110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5"/>
      <c r="S46" s="75"/>
      <c r="T46" s="76"/>
      <c r="U46" s="76"/>
      <c r="V46" s="76"/>
      <c r="W46" s="76"/>
      <c r="X46" s="76"/>
      <c r="Y46" s="76"/>
    </row>
    <row r="47" spans="1:25" ht="16.5" thickTop="1" thickBot="1" x14ac:dyDescent="0.3">
      <c r="A47" s="188"/>
      <c r="B47" s="118" t="s">
        <v>14</v>
      </c>
      <c r="C47" s="111"/>
      <c r="D47" s="111"/>
      <c r="E47" s="103"/>
      <c r="F47" s="103"/>
      <c r="G47" s="103"/>
      <c r="H47" s="103"/>
      <c r="I47" s="103"/>
      <c r="J47" s="103"/>
      <c r="K47" s="103"/>
      <c r="L47" s="103"/>
      <c r="M47" s="103"/>
      <c r="N47" s="103"/>
      <c r="O47" s="103"/>
      <c r="P47" s="103"/>
      <c r="Q47" s="103"/>
      <c r="R47" s="103"/>
      <c r="S47" s="103"/>
      <c r="T47" s="104"/>
      <c r="U47" s="104"/>
      <c r="V47" s="104"/>
      <c r="W47" s="104"/>
      <c r="X47" s="104"/>
      <c r="Y47" s="104"/>
    </row>
    <row r="48" spans="1:25" ht="15.75" thickTop="1" x14ac:dyDescent="0.25"/>
    <row r="49" spans="1:5" x14ac:dyDescent="0.25">
      <c r="A49" t="s">
        <v>42</v>
      </c>
      <c r="B49" s="122" t="s">
        <v>43</v>
      </c>
    </row>
    <row r="50" spans="1:5" x14ac:dyDescent="0.25">
      <c r="A50" s="17" t="s">
        <v>138</v>
      </c>
      <c r="B50" s="139" t="s">
        <v>136</v>
      </c>
      <c r="E50" s="125"/>
    </row>
    <row r="51" spans="1:5" x14ac:dyDescent="0.25">
      <c r="A51" s="145" t="s">
        <v>139</v>
      </c>
      <c r="B51" s="139" t="s">
        <v>137</v>
      </c>
      <c r="E51" s="125"/>
    </row>
    <row r="52" spans="1:5" x14ac:dyDescent="0.25">
      <c r="A52" s="126"/>
      <c r="B52" s="127"/>
      <c r="E52" s="125"/>
    </row>
    <row r="53" spans="1:5" x14ac:dyDescent="0.25">
      <c r="A53" s="126"/>
      <c r="B53" s="127"/>
      <c r="E53" s="125"/>
    </row>
    <row r="54" spans="1:5" x14ac:dyDescent="0.25">
      <c r="A54" s="126"/>
      <c r="B54" s="127"/>
      <c r="E54" s="125"/>
    </row>
    <row r="55" spans="1:5" x14ac:dyDescent="0.25">
      <c r="A55" s="128"/>
      <c r="B55" s="129"/>
      <c r="E55" s="125"/>
    </row>
    <row r="56" spans="1:5" x14ac:dyDescent="0.25">
      <c r="A56" s="128"/>
      <c r="B56" s="129"/>
      <c r="E56" s="125"/>
    </row>
    <row r="57" spans="1:5" x14ac:dyDescent="0.25">
      <c r="A57" s="128"/>
      <c r="B57" s="129"/>
      <c r="E57" s="125"/>
    </row>
    <row r="58" spans="1:5" x14ac:dyDescent="0.25">
      <c r="A58" s="128"/>
      <c r="B58" s="129"/>
      <c r="E58" s="125"/>
    </row>
    <row r="59" spans="1:5" x14ac:dyDescent="0.25">
      <c r="A59" s="128"/>
      <c r="B59" s="129"/>
      <c r="E59" s="125"/>
    </row>
    <row r="60" spans="1:5" x14ac:dyDescent="0.25">
      <c r="A60" s="128"/>
      <c r="B60" s="129"/>
      <c r="E60" s="125"/>
    </row>
    <row r="61" spans="1:5" x14ac:dyDescent="0.25">
      <c r="A61" s="128"/>
      <c r="B61" s="129"/>
      <c r="E61" s="125"/>
    </row>
    <row r="62" spans="1:5" x14ac:dyDescent="0.25">
      <c r="A62" s="128"/>
      <c r="B62" s="129"/>
      <c r="E62" s="125"/>
    </row>
    <row r="63" spans="1:5" x14ac:dyDescent="0.25">
      <c r="A63" s="128"/>
      <c r="B63" s="129"/>
      <c r="E63" s="125"/>
    </row>
    <row r="64" spans="1:5" x14ac:dyDescent="0.25">
      <c r="A64" s="128"/>
      <c r="B64" s="129"/>
      <c r="E64" s="125"/>
    </row>
    <row r="65" spans="1:5" x14ac:dyDescent="0.25">
      <c r="A65" s="128"/>
      <c r="B65" s="129"/>
      <c r="E65" s="125"/>
    </row>
    <row r="66" spans="1:5" x14ac:dyDescent="0.25">
      <c r="A66" s="128"/>
      <c r="B66" s="129"/>
      <c r="E66" s="125"/>
    </row>
    <row r="67" spans="1:5" x14ac:dyDescent="0.25">
      <c r="A67" s="128"/>
      <c r="B67" s="129"/>
      <c r="E67" s="125"/>
    </row>
    <row r="68" spans="1:5" x14ac:dyDescent="0.25">
      <c r="A68" s="128"/>
      <c r="B68" s="129"/>
    </row>
    <row r="69" spans="1:5" x14ac:dyDescent="0.25">
      <c r="A69" s="128"/>
      <c r="B69" s="129"/>
    </row>
    <row r="70" spans="1:5" x14ac:dyDescent="0.25">
      <c r="A70" s="130"/>
      <c r="B70" s="131"/>
    </row>
  </sheetData>
  <mergeCells count="8">
    <mergeCell ref="A34:A40"/>
    <mergeCell ref="A41:A47"/>
    <mergeCell ref="A1:I3"/>
    <mergeCell ref="A4:B4"/>
    <mergeCell ref="A6:A12"/>
    <mergeCell ref="A13:A19"/>
    <mergeCell ref="A20:A26"/>
    <mergeCell ref="A27:A33"/>
  </mergeCells>
  <conditionalFormatting sqref="D6:Y6">
    <cfRule type="containsText" dxfId="249" priority="16" operator="containsText" text=" Анікєєв">
      <formula>NOT(ISERROR(SEARCH(" Анікєєв",D6)))</formula>
    </cfRule>
  </conditionalFormatting>
  <conditionalFormatting sqref="D7:X7">
    <cfRule type="containsText" dxfId="248" priority="15" operator="containsText" text=" Анікєєв">
      <formula>NOT(ISERROR(SEARCH(" Анікєєв",D7)))</formula>
    </cfRule>
  </conditionalFormatting>
  <conditionalFormatting sqref="E8 G8:X8">
    <cfRule type="containsText" dxfId="247" priority="14" operator="containsText" text=" Анікєєв">
      <formula>NOT(ISERROR(SEARCH(" Анікєєв",E8)))</formula>
    </cfRule>
  </conditionalFormatting>
  <conditionalFormatting sqref="D9:X9">
    <cfRule type="containsText" dxfId="246" priority="13" operator="containsText" text=" Анікєєв">
      <formula>NOT(ISERROR(SEARCH(" Анікєєв",D9)))</formula>
    </cfRule>
  </conditionalFormatting>
  <conditionalFormatting sqref="D10:X11">
    <cfRule type="containsText" dxfId="245" priority="12" operator="containsText" text=" Анікєєв">
      <formula>NOT(ISERROR(SEARCH(" Анікєєв",D10)))</formula>
    </cfRule>
  </conditionalFormatting>
  <conditionalFormatting sqref="D12:X12">
    <cfRule type="containsText" dxfId="244" priority="11" operator="containsText" text=" Анікєєв">
      <formula>NOT(ISERROR(SEARCH(" Анікєєв",D12)))</formula>
    </cfRule>
  </conditionalFormatting>
  <conditionalFormatting sqref="D14:X19 E13:X13">
    <cfRule type="containsText" dxfId="243" priority="10" operator="containsText" text=" Анікєєв">
      <formula>NOT(ISERROR(SEARCH(" Анікєєв",D13)))</formula>
    </cfRule>
  </conditionalFormatting>
  <conditionalFormatting sqref="E22:X25 M20:X21">
    <cfRule type="containsText" dxfId="242" priority="9" operator="containsText" text=" Анікєєв">
      <formula>NOT(ISERROR(SEARCH(" Анікєєв",E20)))</formula>
    </cfRule>
  </conditionalFormatting>
  <conditionalFormatting sqref="E27:X32">
    <cfRule type="containsText" dxfId="241" priority="8" operator="containsText" text=" Анікєєв">
      <formula>NOT(ISERROR(SEARCH(" Анікєєв",E27)))</formula>
    </cfRule>
  </conditionalFormatting>
  <conditionalFormatting sqref="E34:X34">
    <cfRule type="containsText" dxfId="240" priority="7" operator="containsText" text=" Анікєєв">
      <formula>NOT(ISERROR(SEARCH(" Анікєєв",E34)))</formula>
    </cfRule>
  </conditionalFormatting>
  <conditionalFormatting sqref="E33:X33">
    <cfRule type="containsText" dxfId="239" priority="6" operator="containsText" text=" Анікєєв">
      <formula>NOT(ISERROR(SEARCH(" Анікєєв",E33)))</formula>
    </cfRule>
  </conditionalFormatting>
  <conditionalFormatting sqref="C36:C40">
    <cfRule type="containsText" dxfId="238" priority="5" operator="containsText" text=" Анікєєв">
      <formula>NOT(ISERROR(SEARCH(" Анікєєв",C36)))</formula>
    </cfRule>
  </conditionalFormatting>
  <conditionalFormatting sqref="B41:Y41">
    <cfRule type="containsText" dxfId="237" priority="4" operator="containsText" text=" Анікєєв">
      <formula>NOT(ISERROR(SEARCH(" Анікєєв",B41)))</formula>
    </cfRule>
  </conditionalFormatting>
  <conditionalFormatting sqref="S37">
    <cfRule type="containsText" dxfId="236" priority="3" operator="containsText" text=" Анікєєв">
      <formula>NOT(ISERROR(SEARCH(" Анікєєв",S37)))</formula>
    </cfRule>
  </conditionalFormatting>
  <conditionalFormatting sqref="C20:L21">
    <cfRule type="containsText" dxfId="235" priority="2" operator="containsText" text=" Анікєєв">
      <formula>NOT(ISERROR(SEARCH(" Анікєєв",C20)))</formula>
    </cfRule>
  </conditionalFormatting>
  <conditionalFormatting sqref="C34:D35">
    <cfRule type="containsText" dxfId="234" priority="1" operator="containsText" text=" Анікєєв">
      <formula>NOT(ISERROR(SEARCH(" Анікєєв",C34)))</formula>
    </cfRule>
  </conditionalFormatting>
  <pageMargins left="0.70866141732283472" right="0.70866141732283472" top="0.74803149606299213" bottom="0.74803149606299213" header="0.31496062992125984" footer="0.31496062992125984"/>
  <pageSetup paperSize="9" scale="41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8">
    <pageSetUpPr fitToPage="1"/>
  </sheetPr>
  <dimension ref="A1:Y70"/>
  <sheetViews>
    <sheetView zoomScale="83" zoomScaleNormal="83" workbookViewId="0">
      <pane xSplit="6" ySplit="5" topLeftCell="G27" activePane="bottomRight" state="frozenSplit"/>
      <selection pane="topRight" activeCell="I1" sqref="I1"/>
      <selection pane="bottomLeft" activeCell="A21" sqref="A21"/>
      <selection pane="bottomRight" activeCell="A20" sqref="A20:A26"/>
    </sheetView>
  </sheetViews>
  <sheetFormatPr defaultRowHeight="15" x14ac:dyDescent="0.25"/>
  <cols>
    <col min="1" max="1" width="21.7109375" customWidth="1"/>
    <col min="2" max="2" width="11.85546875" customWidth="1"/>
    <col min="3" max="3" width="38.28515625" hidden="1" customWidth="1"/>
    <col min="4" max="6" width="39.7109375" hidden="1" customWidth="1"/>
    <col min="7" max="7" width="39.7109375" bestFit="1" customWidth="1"/>
    <col min="8" max="8" width="35.7109375" customWidth="1"/>
    <col min="9" max="9" width="36.28515625" customWidth="1"/>
    <col min="10" max="13" width="36.28515625" bestFit="1" customWidth="1"/>
    <col min="14" max="16" width="25" customWidth="1"/>
    <col min="17" max="17" width="28.42578125" customWidth="1"/>
    <col min="18" max="18" width="24.28515625" bestFit="1" customWidth="1"/>
    <col min="19" max="21" width="25" bestFit="1" customWidth="1"/>
    <col min="22" max="22" width="25" customWidth="1"/>
    <col min="23" max="23" width="25" bestFit="1" customWidth="1"/>
    <col min="24" max="24" width="25" customWidth="1"/>
    <col min="25" max="25" width="25" bestFit="1" customWidth="1"/>
  </cols>
  <sheetData>
    <row r="1" spans="1:25" ht="15" customHeight="1" x14ac:dyDescent="0.25">
      <c r="A1" s="189" t="s">
        <v>131</v>
      </c>
      <c r="B1" s="189"/>
      <c r="C1" s="189"/>
      <c r="D1" s="189"/>
      <c r="E1" s="189"/>
      <c r="F1" s="189"/>
      <c r="G1" s="189"/>
      <c r="H1" s="189"/>
      <c r="I1" s="189"/>
      <c r="J1" s="9"/>
      <c r="K1" s="9"/>
      <c r="L1" s="9"/>
      <c r="M1" s="9"/>
      <c r="N1" s="9"/>
      <c r="O1" s="9"/>
      <c r="P1" s="9"/>
      <c r="Q1" s="9"/>
      <c r="R1" s="9"/>
    </row>
    <row r="2" spans="1:25" ht="15" customHeight="1" x14ac:dyDescent="0.25">
      <c r="A2" s="189"/>
      <c r="B2" s="189"/>
      <c r="C2" s="189"/>
      <c r="D2" s="189"/>
      <c r="E2" s="189"/>
      <c r="F2" s="189"/>
      <c r="G2" s="189"/>
      <c r="H2" s="189"/>
      <c r="I2" s="189"/>
      <c r="J2" s="9"/>
      <c r="K2" s="9"/>
      <c r="L2" s="9"/>
      <c r="M2" s="9"/>
      <c r="N2" s="9"/>
      <c r="O2" s="9"/>
      <c r="P2" s="9"/>
      <c r="Q2" s="9"/>
      <c r="R2" s="9"/>
    </row>
    <row r="3" spans="1:25" ht="15.75" customHeight="1" thickBot="1" x14ac:dyDescent="0.3">
      <c r="A3" s="190"/>
      <c r="B3" s="190"/>
      <c r="C3" s="190"/>
      <c r="D3" s="190"/>
      <c r="E3" s="190"/>
      <c r="F3" s="190"/>
      <c r="G3" s="190"/>
      <c r="H3" s="190"/>
      <c r="I3" s="190"/>
      <c r="J3" s="9"/>
      <c r="K3" s="9"/>
      <c r="L3" s="9"/>
      <c r="M3" s="9"/>
      <c r="N3" s="9"/>
      <c r="O3" s="9"/>
      <c r="P3" s="9"/>
      <c r="Q3" s="9"/>
      <c r="R3" s="9"/>
    </row>
    <row r="4" spans="1:25" s="113" customFormat="1" ht="22.5" thickTop="1" thickBot="1" x14ac:dyDescent="0.35">
      <c r="A4" s="191" t="s">
        <v>13</v>
      </c>
      <c r="B4" s="192"/>
      <c r="C4" s="1">
        <v>1</v>
      </c>
      <c r="D4" s="1">
        <v>2</v>
      </c>
      <c r="E4" s="1">
        <v>3</v>
      </c>
      <c r="F4" s="1">
        <v>4</v>
      </c>
      <c r="G4" s="1">
        <v>5</v>
      </c>
      <c r="H4" s="1">
        <v>6</v>
      </c>
      <c r="I4" s="1">
        <v>7</v>
      </c>
      <c r="J4" s="1">
        <v>8</v>
      </c>
      <c r="K4" s="1">
        <v>9</v>
      </c>
      <c r="L4" s="1">
        <v>10</v>
      </c>
      <c r="M4" s="1">
        <v>11</v>
      </c>
      <c r="N4" s="1">
        <v>12</v>
      </c>
      <c r="O4" s="1">
        <v>13</v>
      </c>
      <c r="P4" s="1">
        <v>14</v>
      </c>
      <c r="Q4" s="1">
        <v>15</v>
      </c>
      <c r="R4" s="1">
        <v>16</v>
      </c>
      <c r="S4" s="1">
        <v>17</v>
      </c>
      <c r="T4" s="112">
        <v>18</v>
      </c>
      <c r="U4" s="112">
        <v>19</v>
      </c>
      <c r="V4" s="112">
        <v>20</v>
      </c>
      <c r="W4" s="112">
        <v>21</v>
      </c>
      <c r="X4" s="112">
        <v>22</v>
      </c>
      <c r="Y4" s="112">
        <v>23</v>
      </c>
    </row>
    <row r="5" spans="1:25" ht="21.75" thickTop="1" thickBot="1" x14ac:dyDescent="0.35">
      <c r="A5" s="2" t="s">
        <v>0</v>
      </c>
      <c r="B5" s="3" t="s">
        <v>1</v>
      </c>
      <c r="C5" s="4" t="s">
        <v>49</v>
      </c>
      <c r="D5" s="4" t="s">
        <v>50</v>
      </c>
      <c r="E5" s="4" t="s">
        <v>51</v>
      </c>
      <c r="F5" s="4" t="s">
        <v>52</v>
      </c>
      <c r="G5" s="4" t="s">
        <v>48</v>
      </c>
      <c r="H5" s="4" t="s">
        <v>47</v>
      </c>
      <c r="I5" s="4" t="s">
        <v>46</v>
      </c>
      <c r="J5" s="4" t="s">
        <v>45</v>
      </c>
      <c r="K5" s="4" t="s">
        <v>53</v>
      </c>
      <c r="L5" s="4" t="s">
        <v>54</v>
      </c>
      <c r="M5" s="4" t="s">
        <v>61</v>
      </c>
      <c r="N5" s="4" t="s">
        <v>60</v>
      </c>
      <c r="O5" s="4" t="s">
        <v>59</v>
      </c>
      <c r="P5" s="4" t="s">
        <v>58</v>
      </c>
      <c r="Q5" s="4" t="s">
        <v>57</v>
      </c>
      <c r="R5" s="4" t="s">
        <v>56</v>
      </c>
      <c r="S5" s="4" t="s">
        <v>55</v>
      </c>
      <c r="T5" s="114"/>
      <c r="U5" s="114"/>
      <c r="V5" s="114"/>
      <c r="W5" s="114"/>
      <c r="X5" s="114"/>
      <c r="Y5" s="114"/>
    </row>
    <row r="6" spans="1:25" s="8" customFormat="1" ht="46.5" thickTop="1" thickBot="1" x14ac:dyDescent="0.3">
      <c r="A6" s="193" t="s">
        <v>2</v>
      </c>
      <c r="B6" s="115" t="s">
        <v>10</v>
      </c>
      <c r="C6" s="65"/>
      <c r="D6" s="72" t="s">
        <v>208</v>
      </c>
      <c r="E6" s="72" t="s">
        <v>210</v>
      </c>
      <c r="F6" s="72" t="s">
        <v>228</v>
      </c>
      <c r="G6" s="72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7"/>
      <c r="U6" s="67"/>
      <c r="V6" s="67"/>
      <c r="W6" s="67"/>
      <c r="X6" s="67"/>
      <c r="Y6" s="67"/>
    </row>
    <row r="7" spans="1:25" s="8" customFormat="1" ht="16.5" thickTop="1" thickBot="1" x14ac:dyDescent="0.3">
      <c r="A7" s="193"/>
      <c r="B7" s="116" t="s">
        <v>11</v>
      </c>
      <c r="C7" s="68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69"/>
      <c r="S7" s="69"/>
      <c r="T7" s="70"/>
      <c r="U7" s="70"/>
      <c r="V7" s="70"/>
      <c r="W7" s="70"/>
      <c r="X7" s="70"/>
      <c r="Y7" s="71"/>
    </row>
    <row r="8" spans="1:25" s="8" customFormat="1" ht="46.5" thickTop="1" thickBot="1" x14ac:dyDescent="0.3">
      <c r="A8" s="193"/>
      <c r="B8" s="116" t="s">
        <v>12</v>
      </c>
      <c r="C8" s="72" t="s">
        <v>206</v>
      </c>
      <c r="D8" s="72" t="s">
        <v>83</v>
      </c>
      <c r="E8" s="72"/>
      <c r="F8" s="72" t="s">
        <v>227</v>
      </c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3"/>
      <c r="U8" s="73"/>
      <c r="V8" s="73"/>
      <c r="W8" s="73"/>
      <c r="X8" s="73"/>
      <c r="Y8" s="71"/>
    </row>
    <row r="9" spans="1:25" s="8" customFormat="1" ht="76.5" thickTop="1" thickBot="1" x14ac:dyDescent="0.3">
      <c r="A9" s="193"/>
      <c r="B9" s="116" t="s">
        <v>7</v>
      </c>
      <c r="C9" s="68"/>
      <c r="D9" s="72"/>
      <c r="E9" s="72"/>
      <c r="F9" s="72"/>
      <c r="G9" s="72" t="s">
        <v>222</v>
      </c>
      <c r="H9" s="72" t="s">
        <v>222</v>
      </c>
      <c r="I9" s="72" t="s">
        <v>222</v>
      </c>
      <c r="J9" s="72" t="s">
        <v>368</v>
      </c>
      <c r="K9" s="72" t="s">
        <v>368</v>
      </c>
      <c r="L9" s="72"/>
      <c r="M9" s="72"/>
      <c r="N9" s="72"/>
      <c r="O9" s="72"/>
      <c r="P9" s="72"/>
      <c r="Q9" s="72"/>
      <c r="R9" s="72"/>
      <c r="S9" s="72"/>
      <c r="T9" s="73"/>
      <c r="U9" s="73"/>
      <c r="V9" s="73"/>
      <c r="W9" s="73"/>
      <c r="X9" s="73"/>
      <c r="Y9" s="71"/>
    </row>
    <row r="10" spans="1:25" s="8" customFormat="1" ht="16.149999999999999" customHeight="1" thickTop="1" thickBot="1" x14ac:dyDescent="0.3">
      <c r="A10" s="193"/>
      <c r="B10" s="116" t="s">
        <v>8</v>
      </c>
      <c r="C10" s="68" t="s">
        <v>211</v>
      </c>
      <c r="D10" s="68" t="s">
        <v>213</v>
      </c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3"/>
      <c r="U10" s="73"/>
      <c r="V10" s="73"/>
      <c r="W10" s="73"/>
      <c r="X10" s="73"/>
      <c r="Y10" s="71"/>
    </row>
    <row r="11" spans="1:25" s="8" customFormat="1" ht="16.5" thickTop="1" thickBot="1" x14ac:dyDescent="0.3">
      <c r="A11" s="193"/>
      <c r="B11" s="117" t="s">
        <v>9</v>
      </c>
      <c r="C11" s="74"/>
      <c r="D11" s="75" t="s">
        <v>183</v>
      </c>
      <c r="E11" s="75" t="s">
        <v>183</v>
      </c>
      <c r="F11" s="75" t="s">
        <v>229</v>
      </c>
      <c r="G11" s="75" t="s">
        <v>229</v>
      </c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6"/>
      <c r="U11" s="76"/>
      <c r="V11" s="76"/>
      <c r="W11" s="76"/>
      <c r="X11" s="76"/>
      <c r="Y11" s="77"/>
    </row>
    <row r="12" spans="1:25" s="11" customFormat="1" ht="16.149999999999999" customHeight="1" thickTop="1" thickBot="1" x14ac:dyDescent="0.3">
      <c r="A12" s="193"/>
      <c r="B12" s="118" t="s">
        <v>14</v>
      </c>
      <c r="C12" s="78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80"/>
      <c r="U12" s="80"/>
      <c r="V12" s="80"/>
      <c r="W12" s="80"/>
      <c r="X12" s="80"/>
      <c r="Y12" s="81"/>
    </row>
    <row r="13" spans="1:25" s="11" customFormat="1" ht="16.149999999999999" customHeight="1" thickTop="1" thickBot="1" x14ac:dyDescent="0.3">
      <c r="A13" s="194" t="s">
        <v>3</v>
      </c>
      <c r="B13" s="97" t="s">
        <v>10</v>
      </c>
      <c r="C13" s="82"/>
      <c r="D13" s="83"/>
      <c r="E13" s="83" t="s">
        <v>217</v>
      </c>
      <c r="F13" s="83" t="s">
        <v>217</v>
      </c>
      <c r="G13" s="83" t="s">
        <v>217</v>
      </c>
      <c r="H13" s="83" t="s">
        <v>217</v>
      </c>
      <c r="I13" s="83" t="s">
        <v>217</v>
      </c>
      <c r="J13" s="83" t="s">
        <v>217</v>
      </c>
      <c r="K13" s="83" t="s">
        <v>217</v>
      </c>
      <c r="L13" s="83"/>
      <c r="M13" s="83"/>
      <c r="N13" s="83"/>
      <c r="O13" s="83"/>
      <c r="P13" s="83"/>
      <c r="Q13" s="83"/>
      <c r="R13" s="83"/>
      <c r="S13" s="83"/>
      <c r="T13" s="84"/>
      <c r="U13" s="84"/>
      <c r="V13" s="84"/>
      <c r="W13" s="84"/>
      <c r="X13" s="84"/>
      <c r="Y13" s="85"/>
    </row>
    <row r="14" spans="1:25" s="11" customFormat="1" ht="76.5" thickTop="1" thickBot="1" x14ac:dyDescent="0.3">
      <c r="A14" s="194"/>
      <c r="B14" s="119" t="s">
        <v>11</v>
      </c>
      <c r="C14" s="89" t="s">
        <v>207</v>
      </c>
      <c r="D14" s="89" t="s">
        <v>209</v>
      </c>
      <c r="E14" s="89" t="s">
        <v>218</v>
      </c>
      <c r="F14" s="89" t="s">
        <v>216</v>
      </c>
      <c r="G14" s="89" t="s">
        <v>216</v>
      </c>
      <c r="H14" s="89" t="s">
        <v>216</v>
      </c>
      <c r="I14" s="89" t="s">
        <v>216</v>
      </c>
      <c r="J14" s="89" t="s">
        <v>216</v>
      </c>
      <c r="K14" s="89" t="s">
        <v>216</v>
      </c>
      <c r="L14" s="87"/>
      <c r="M14" s="87"/>
      <c r="N14" s="87"/>
      <c r="O14" s="87"/>
      <c r="P14" s="87"/>
      <c r="Q14" s="87"/>
      <c r="R14" s="87"/>
      <c r="S14" s="87"/>
      <c r="T14" s="88"/>
      <c r="U14" s="88"/>
      <c r="V14" s="88"/>
      <c r="W14" s="88"/>
      <c r="X14" s="88"/>
      <c r="Y14" s="71"/>
    </row>
    <row r="15" spans="1:25" s="11" customFormat="1" ht="16.5" thickTop="1" thickBot="1" x14ac:dyDescent="0.3">
      <c r="A15" s="194"/>
      <c r="B15" s="119" t="s">
        <v>12</v>
      </c>
      <c r="C15" s="89"/>
      <c r="D15" s="89"/>
      <c r="E15" s="89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73"/>
      <c r="U15" s="73"/>
      <c r="V15" s="73"/>
      <c r="W15" s="73"/>
      <c r="X15" s="73"/>
      <c r="Y15" s="71"/>
    </row>
    <row r="16" spans="1:25" s="11" customFormat="1" ht="16.149999999999999" customHeight="1" thickTop="1" thickBot="1" x14ac:dyDescent="0.3">
      <c r="A16" s="194"/>
      <c r="B16" s="119" t="s">
        <v>7</v>
      </c>
      <c r="C16" s="86" t="s">
        <v>183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8"/>
      <c r="U16" s="88"/>
      <c r="V16" s="88"/>
      <c r="W16" s="88"/>
      <c r="X16" s="88"/>
      <c r="Y16" s="71"/>
    </row>
    <row r="17" spans="1:25" s="11" customFormat="1" ht="16.149999999999999" customHeight="1" thickTop="1" thickBot="1" x14ac:dyDescent="0.3">
      <c r="A17" s="194"/>
      <c r="B17" s="119" t="s">
        <v>8</v>
      </c>
      <c r="C17" s="86"/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8"/>
      <c r="U17" s="88"/>
      <c r="V17" s="88"/>
      <c r="W17" s="88"/>
      <c r="X17" s="88"/>
      <c r="Y17" s="71"/>
    </row>
    <row r="18" spans="1:25" s="8" customFormat="1" ht="16.149999999999999" customHeight="1" thickTop="1" thickBot="1" x14ac:dyDescent="0.3">
      <c r="A18" s="194"/>
      <c r="B18" s="120" t="s">
        <v>9</v>
      </c>
      <c r="C18" s="86" t="s">
        <v>212</v>
      </c>
      <c r="D18" s="86" t="s">
        <v>214</v>
      </c>
      <c r="E18" s="86" t="s">
        <v>219</v>
      </c>
      <c r="F18" s="86" t="s">
        <v>222</v>
      </c>
      <c r="G18" s="86" t="s">
        <v>223</v>
      </c>
      <c r="H18" s="91"/>
      <c r="I18" s="91"/>
      <c r="J18" s="91"/>
      <c r="K18" s="91"/>
      <c r="L18" s="91"/>
      <c r="M18" s="91"/>
      <c r="N18" s="91"/>
      <c r="O18" s="91"/>
      <c r="P18" s="91"/>
      <c r="Q18" s="91"/>
      <c r="R18" s="91"/>
      <c r="S18" s="91"/>
      <c r="T18" s="92"/>
      <c r="U18" s="92"/>
      <c r="V18" s="92"/>
      <c r="W18" s="92"/>
      <c r="X18" s="92"/>
      <c r="Y18" s="77"/>
    </row>
    <row r="19" spans="1:25" s="8" customFormat="1" ht="16.149999999999999" customHeight="1" thickTop="1" thickBot="1" x14ac:dyDescent="0.3">
      <c r="A19" s="194"/>
      <c r="B19" s="121" t="s">
        <v>14</v>
      </c>
      <c r="C19" s="93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80"/>
      <c r="U19" s="80"/>
      <c r="V19" s="80"/>
      <c r="W19" s="80"/>
      <c r="X19" s="80"/>
      <c r="Y19" s="81"/>
    </row>
    <row r="20" spans="1:25" s="8" customFormat="1" ht="61.5" thickTop="1" thickBot="1" x14ac:dyDescent="0.3">
      <c r="A20" s="193" t="s">
        <v>4</v>
      </c>
      <c r="B20" s="115" t="s">
        <v>10</v>
      </c>
      <c r="C20" s="133" t="s">
        <v>80</v>
      </c>
      <c r="D20" s="135" t="s">
        <v>81</v>
      </c>
      <c r="E20" s="72" t="s">
        <v>84</v>
      </c>
      <c r="F20" s="135" t="s">
        <v>226</v>
      </c>
      <c r="G20" s="135" t="s">
        <v>230</v>
      </c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84"/>
      <c r="U20" s="84"/>
      <c r="V20" s="84"/>
      <c r="W20" s="84"/>
      <c r="X20" s="84"/>
      <c r="Y20" s="85"/>
    </row>
    <row r="21" spans="1:25" s="8" customFormat="1" ht="31.5" thickTop="1" thickBot="1" x14ac:dyDescent="0.3">
      <c r="A21" s="193"/>
      <c r="B21" s="116" t="s">
        <v>11</v>
      </c>
      <c r="C21" s="68"/>
      <c r="D21" s="72"/>
      <c r="E21" s="72" t="s">
        <v>84</v>
      </c>
      <c r="F21" s="72" t="s">
        <v>225</v>
      </c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88"/>
      <c r="U21" s="88"/>
      <c r="V21" s="88"/>
      <c r="W21" s="88"/>
      <c r="X21" s="88"/>
      <c r="Y21" s="71"/>
    </row>
    <row r="22" spans="1:25" s="8" customFormat="1" ht="31.5" thickTop="1" thickBot="1" x14ac:dyDescent="0.3">
      <c r="A22" s="193"/>
      <c r="B22" s="116" t="s">
        <v>12</v>
      </c>
      <c r="C22" s="68"/>
      <c r="D22" s="96"/>
      <c r="E22" s="96"/>
      <c r="F22" s="72" t="s">
        <v>85</v>
      </c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88"/>
      <c r="U22" s="88"/>
      <c r="V22" s="88"/>
      <c r="W22" s="88"/>
      <c r="X22" s="88"/>
      <c r="Y22" s="71"/>
    </row>
    <row r="23" spans="1:25" s="8" customFormat="1" ht="16.149999999999999" customHeight="1" thickTop="1" thickBot="1" x14ac:dyDescent="0.3">
      <c r="A23" s="193"/>
      <c r="B23" s="116" t="s">
        <v>7</v>
      </c>
      <c r="C23" s="68"/>
      <c r="D23" s="96"/>
      <c r="E23" s="96"/>
      <c r="F23" s="96"/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88"/>
      <c r="U23" s="88"/>
      <c r="V23" s="88"/>
      <c r="W23" s="88"/>
      <c r="X23" s="88"/>
      <c r="Y23" s="71"/>
    </row>
    <row r="24" spans="1:25" s="8" customFormat="1" ht="16.149999999999999" customHeight="1" thickTop="1" thickBot="1" x14ac:dyDescent="0.3">
      <c r="A24" s="193"/>
      <c r="B24" s="116" t="s">
        <v>8</v>
      </c>
      <c r="C24" s="68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3"/>
      <c r="U24" s="73"/>
      <c r="V24" s="73"/>
      <c r="W24" s="73"/>
      <c r="X24" s="73"/>
      <c r="Y24" s="71"/>
    </row>
    <row r="25" spans="1:25" s="11" customFormat="1" ht="16.149999999999999" customHeight="1" thickTop="1" thickBot="1" x14ac:dyDescent="0.3">
      <c r="A25" s="193"/>
      <c r="B25" s="116" t="s">
        <v>9</v>
      </c>
      <c r="C25" s="68" t="s">
        <v>185</v>
      </c>
      <c r="D25" s="68" t="s">
        <v>185</v>
      </c>
      <c r="E25" s="68" t="s">
        <v>185</v>
      </c>
      <c r="F25" s="68" t="s">
        <v>185</v>
      </c>
      <c r="G25" s="68" t="s">
        <v>185</v>
      </c>
      <c r="H25" s="68" t="s">
        <v>185</v>
      </c>
      <c r="I25" s="68" t="s">
        <v>185</v>
      </c>
      <c r="J25" s="68" t="s">
        <v>185</v>
      </c>
      <c r="K25" s="68" t="s">
        <v>185</v>
      </c>
      <c r="L25" s="68" t="s">
        <v>185</v>
      </c>
      <c r="M25" s="68" t="s">
        <v>185</v>
      </c>
      <c r="N25" s="68" t="s">
        <v>185</v>
      </c>
      <c r="O25" s="68"/>
      <c r="P25" s="68"/>
      <c r="Q25" s="68"/>
      <c r="R25" s="68"/>
      <c r="S25" s="96"/>
      <c r="T25" s="88"/>
      <c r="U25" s="88"/>
      <c r="V25" s="88"/>
      <c r="W25" s="88"/>
      <c r="X25" s="88"/>
      <c r="Y25" s="71"/>
    </row>
    <row r="26" spans="1:25" s="11" customFormat="1" ht="16.149999999999999" customHeight="1" thickTop="1" thickBot="1" x14ac:dyDescent="0.3">
      <c r="A26" s="193"/>
      <c r="B26" s="118" t="s">
        <v>14</v>
      </c>
      <c r="C26" s="78"/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80"/>
      <c r="U26" s="80"/>
      <c r="V26" s="80"/>
      <c r="W26" s="80"/>
      <c r="X26" s="80"/>
      <c r="Y26" s="81"/>
    </row>
    <row r="27" spans="1:25" s="11" customFormat="1" ht="31.5" thickTop="1" thickBot="1" x14ac:dyDescent="0.3">
      <c r="A27" s="194" t="s">
        <v>5</v>
      </c>
      <c r="B27" s="97" t="s">
        <v>10</v>
      </c>
      <c r="C27" s="83" t="s">
        <v>63</v>
      </c>
      <c r="D27" s="83" t="s">
        <v>63</v>
      </c>
      <c r="E27" s="83" t="s">
        <v>63</v>
      </c>
      <c r="F27" s="147" t="s">
        <v>160</v>
      </c>
      <c r="G27" s="147" t="s">
        <v>231</v>
      </c>
      <c r="H27" s="147" t="s">
        <v>231</v>
      </c>
      <c r="I27" s="147" t="s">
        <v>231</v>
      </c>
      <c r="J27" s="147" t="s">
        <v>231</v>
      </c>
      <c r="K27" s="147" t="s">
        <v>231</v>
      </c>
      <c r="L27" s="98"/>
      <c r="M27" s="98"/>
      <c r="N27" s="98"/>
      <c r="O27" s="98"/>
      <c r="P27" s="98"/>
      <c r="Q27" s="98"/>
      <c r="R27" s="98"/>
      <c r="S27" s="98"/>
      <c r="T27" s="67"/>
      <c r="U27" s="67"/>
      <c r="V27" s="67"/>
      <c r="W27" s="67"/>
      <c r="X27" s="67"/>
      <c r="Y27" s="85"/>
    </row>
    <row r="28" spans="1:25" s="11" customFormat="1" ht="31.5" thickTop="1" thickBot="1" x14ac:dyDescent="0.3">
      <c r="A28" s="194"/>
      <c r="B28" s="119" t="s">
        <v>11</v>
      </c>
      <c r="C28" s="87" t="s">
        <v>64</v>
      </c>
      <c r="D28" s="87" t="s">
        <v>64</v>
      </c>
      <c r="E28" s="87" t="s">
        <v>64</v>
      </c>
      <c r="F28" s="90" t="s">
        <v>161</v>
      </c>
      <c r="G28" s="90" t="s">
        <v>161</v>
      </c>
      <c r="H28" s="90" t="s">
        <v>161</v>
      </c>
      <c r="I28" s="90" t="s">
        <v>161</v>
      </c>
      <c r="J28" s="90" t="s">
        <v>161</v>
      </c>
      <c r="K28" s="90" t="s">
        <v>161</v>
      </c>
      <c r="L28" s="87"/>
      <c r="M28" s="87"/>
      <c r="N28" s="87"/>
      <c r="O28" s="87"/>
      <c r="P28" s="87"/>
      <c r="Q28" s="87"/>
      <c r="R28" s="87"/>
      <c r="S28" s="87"/>
      <c r="T28" s="88"/>
      <c r="U28" s="88"/>
      <c r="V28" s="88"/>
      <c r="W28" s="88"/>
      <c r="X28" s="88"/>
      <c r="Y28" s="71"/>
    </row>
    <row r="29" spans="1:25" s="11" customFormat="1" ht="31.5" thickTop="1" thickBot="1" x14ac:dyDescent="0.3">
      <c r="A29" s="194"/>
      <c r="B29" s="119" t="s">
        <v>12</v>
      </c>
      <c r="C29" s="86"/>
      <c r="D29" s="86"/>
      <c r="E29" s="86"/>
      <c r="F29" s="90" t="s">
        <v>159</v>
      </c>
      <c r="G29" s="90"/>
      <c r="H29" s="87" t="s">
        <v>229</v>
      </c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8"/>
      <c r="U29" s="88"/>
      <c r="V29" s="88"/>
      <c r="W29" s="88"/>
      <c r="X29" s="88"/>
      <c r="Y29" s="71"/>
    </row>
    <row r="30" spans="1:25" s="11" customFormat="1" ht="46.5" thickTop="1" thickBot="1" x14ac:dyDescent="0.3">
      <c r="A30" s="194"/>
      <c r="B30" s="119" t="s">
        <v>7</v>
      </c>
      <c r="C30" s="99" t="s">
        <v>184</v>
      </c>
      <c r="D30" s="99" t="s">
        <v>184</v>
      </c>
      <c r="E30" s="99" t="s">
        <v>203</v>
      </c>
      <c r="F30" s="99" t="s">
        <v>204</v>
      </c>
      <c r="G30" s="99" t="s">
        <v>205</v>
      </c>
      <c r="H30" s="99" t="s">
        <v>286</v>
      </c>
      <c r="I30" s="90" t="s">
        <v>287</v>
      </c>
      <c r="J30" s="90" t="s">
        <v>287</v>
      </c>
      <c r="K30" s="90"/>
      <c r="L30" s="90"/>
      <c r="M30" s="90"/>
      <c r="N30" s="90"/>
      <c r="O30" s="90"/>
      <c r="P30" s="90"/>
      <c r="Q30" s="90"/>
      <c r="R30" s="90"/>
      <c r="S30" s="90"/>
      <c r="T30" s="73"/>
      <c r="U30" s="73"/>
      <c r="V30" s="73"/>
      <c r="W30" s="73"/>
      <c r="X30" s="73"/>
      <c r="Y30" s="71"/>
    </row>
    <row r="31" spans="1:25" s="11" customFormat="1" ht="16.149999999999999" customHeight="1" thickTop="1" thickBot="1" x14ac:dyDescent="0.3">
      <c r="A31" s="194"/>
      <c r="B31" s="119" t="s">
        <v>8</v>
      </c>
      <c r="C31" s="99" t="s">
        <v>154</v>
      </c>
      <c r="D31" s="99" t="s">
        <v>154</v>
      </c>
      <c r="E31" s="99" t="s">
        <v>154</v>
      </c>
      <c r="F31" s="99" t="s">
        <v>154</v>
      </c>
      <c r="G31" s="99" t="s">
        <v>154</v>
      </c>
      <c r="H31" s="99" t="s">
        <v>154</v>
      </c>
      <c r="I31" s="99" t="s">
        <v>154</v>
      </c>
      <c r="J31" s="99" t="s">
        <v>154</v>
      </c>
      <c r="K31" s="90"/>
      <c r="L31" s="90"/>
      <c r="M31" s="90"/>
      <c r="N31" s="90"/>
      <c r="O31" s="90"/>
      <c r="P31" s="90"/>
      <c r="Q31" s="90"/>
      <c r="R31" s="90"/>
      <c r="S31" s="90"/>
      <c r="T31" s="73"/>
      <c r="U31" s="73"/>
      <c r="V31" s="73"/>
      <c r="W31" s="73"/>
      <c r="X31" s="73"/>
      <c r="Y31" s="100"/>
    </row>
    <row r="32" spans="1:25" s="8" customFormat="1" ht="16.149999999999999" customHeight="1" thickTop="1" thickBot="1" x14ac:dyDescent="0.3">
      <c r="A32" s="194"/>
      <c r="B32" s="120" t="s">
        <v>9</v>
      </c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73"/>
      <c r="U32" s="73"/>
      <c r="V32" s="73"/>
      <c r="W32" s="73"/>
      <c r="X32" s="73"/>
      <c r="Y32" s="101"/>
    </row>
    <row r="33" spans="1:25" s="8" customFormat="1" ht="16.5" thickTop="1" thickBot="1" x14ac:dyDescent="0.3">
      <c r="A33" s="194"/>
      <c r="B33" s="121" t="s">
        <v>14</v>
      </c>
      <c r="C33" s="90"/>
      <c r="D33" s="90"/>
      <c r="E33" s="90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88"/>
      <c r="U33" s="88"/>
      <c r="V33" s="88"/>
      <c r="W33" s="88"/>
      <c r="X33" s="88"/>
      <c r="Y33" s="81"/>
    </row>
    <row r="34" spans="1:25" s="8" customFormat="1" ht="16.149999999999999" customHeight="1" thickTop="1" thickBot="1" x14ac:dyDescent="0.3">
      <c r="A34" s="188" t="s">
        <v>6</v>
      </c>
      <c r="B34" s="115" t="s">
        <v>10</v>
      </c>
      <c r="C34" s="95" t="s">
        <v>65</v>
      </c>
      <c r="D34" s="95" t="s">
        <v>65</v>
      </c>
      <c r="E34" s="95" t="s">
        <v>65</v>
      </c>
      <c r="F34" s="95" t="s">
        <v>257</v>
      </c>
      <c r="G34" s="95" t="s">
        <v>65</v>
      </c>
      <c r="H34" s="95" t="s">
        <v>65</v>
      </c>
      <c r="I34" s="95" t="s">
        <v>65</v>
      </c>
      <c r="J34" s="95" t="s">
        <v>65</v>
      </c>
      <c r="K34" s="95" t="s">
        <v>65</v>
      </c>
      <c r="L34" s="95"/>
      <c r="M34" s="95"/>
      <c r="N34" s="95"/>
      <c r="O34" s="95"/>
      <c r="P34" s="95"/>
      <c r="Q34" s="95"/>
      <c r="R34" s="95"/>
      <c r="S34" s="95"/>
      <c r="T34" s="84"/>
      <c r="U34" s="84"/>
      <c r="V34" s="84"/>
      <c r="W34" s="84"/>
      <c r="X34" s="84"/>
      <c r="Y34" s="85"/>
    </row>
    <row r="35" spans="1:25" s="8" customFormat="1" ht="16.149999999999999" customHeight="1" thickTop="1" thickBot="1" x14ac:dyDescent="0.3">
      <c r="A35" s="188"/>
      <c r="B35" s="116" t="s">
        <v>11</v>
      </c>
      <c r="C35" s="96" t="s">
        <v>66</v>
      </c>
      <c r="D35" s="96" t="s">
        <v>66</v>
      </c>
      <c r="E35" s="96" t="s">
        <v>66</v>
      </c>
      <c r="F35" s="96" t="s">
        <v>66</v>
      </c>
      <c r="G35" s="96" t="s">
        <v>66</v>
      </c>
      <c r="H35" s="96" t="s">
        <v>66</v>
      </c>
      <c r="I35" s="96" t="s">
        <v>66</v>
      </c>
      <c r="J35" s="96" t="s">
        <v>66</v>
      </c>
      <c r="K35" s="96" t="s">
        <v>66</v>
      </c>
      <c r="L35" s="96"/>
      <c r="M35" s="96"/>
      <c r="N35" s="96"/>
      <c r="O35" s="96"/>
      <c r="P35" s="96"/>
      <c r="Q35" s="96"/>
      <c r="R35" s="96"/>
      <c r="S35" s="96"/>
      <c r="T35" s="88"/>
      <c r="U35" s="88"/>
      <c r="V35" s="88"/>
      <c r="W35" s="88"/>
      <c r="X35" s="88"/>
      <c r="Y35" s="71"/>
    </row>
    <row r="36" spans="1:25" s="8" customFormat="1" ht="31.5" thickTop="1" thickBot="1" x14ac:dyDescent="0.3">
      <c r="A36" s="188"/>
      <c r="B36" s="116" t="s">
        <v>12</v>
      </c>
      <c r="C36" s="96" t="s">
        <v>155</v>
      </c>
      <c r="D36" s="96" t="s">
        <v>155</v>
      </c>
      <c r="E36" s="96" t="s">
        <v>155</v>
      </c>
      <c r="F36" s="72" t="s">
        <v>258</v>
      </c>
      <c r="G36" s="72" t="s">
        <v>232</v>
      </c>
      <c r="H36" s="72" t="s">
        <v>232</v>
      </c>
      <c r="I36" s="72" t="s">
        <v>232</v>
      </c>
      <c r="J36" s="72" t="s">
        <v>232</v>
      </c>
      <c r="K36" s="69"/>
      <c r="L36" s="69"/>
      <c r="M36" s="69"/>
      <c r="N36" s="69"/>
      <c r="O36" s="69"/>
      <c r="P36" s="69"/>
      <c r="Q36" s="69"/>
      <c r="R36" s="69"/>
      <c r="S36" s="69"/>
      <c r="T36" s="70"/>
      <c r="U36" s="70"/>
      <c r="V36" s="70"/>
      <c r="W36" s="70"/>
      <c r="X36" s="70"/>
      <c r="Y36" s="71"/>
    </row>
    <row r="37" spans="1:25" ht="16.149999999999999" customHeight="1" thickTop="1" thickBot="1" x14ac:dyDescent="0.3">
      <c r="A37" s="188"/>
      <c r="B37" s="116" t="s">
        <v>7</v>
      </c>
      <c r="C37" s="96" t="s">
        <v>156</v>
      </c>
      <c r="D37" s="96" t="s">
        <v>156</v>
      </c>
      <c r="E37" s="96" t="s">
        <v>156</v>
      </c>
      <c r="F37" s="96" t="s">
        <v>156</v>
      </c>
      <c r="G37" s="96" t="s">
        <v>156</v>
      </c>
      <c r="H37" s="96" t="s">
        <v>156</v>
      </c>
      <c r="I37" s="96" t="s">
        <v>156</v>
      </c>
      <c r="J37" s="96" t="s">
        <v>156</v>
      </c>
      <c r="K37" s="72"/>
      <c r="L37" s="72"/>
      <c r="M37" s="72"/>
      <c r="N37" s="72"/>
      <c r="O37" s="72"/>
      <c r="P37" s="72"/>
      <c r="Q37" s="72"/>
      <c r="R37" s="72"/>
      <c r="S37" s="72"/>
      <c r="T37" s="73"/>
      <c r="U37" s="73"/>
      <c r="V37" s="73"/>
      <c r="W37" s="73"/>
      <c r="X37" s="73"/>
      <c r="Y37" s="100"/>
    </row>
    <row r="38" spans="1:25" ht="16.149999999999999" customHeight="1" thickTop="1" thickBot="1" x14ac:dyDescent="0.3">
      <c r="A38" s="188"/>
      <c r="B38" s="116" t="s">
        <v>8</v>
      </c>
      <c r="C38" s="96" t="s">
        <v>157</v>
      </c>
      <c r="D38" s="96" t="s">
        <v>157</v>
      </c>
      <c r="E38" s="96" t="s">
        <v>157</v>
      </c>
      <c r="F38" s="96" t="s">
        <v>157</v>
      </c>
      <c r="G38" s="96" t="s">
        <v>157</v>
      </c>
      <c r="H38" s="96" t="s">
        <v>157</v>
      </c>
      <c r="I38" s="96" t="s">
        <v>157</v>
      </c>
      <c r="J38" s="96" t="s">
        <v>157</v>
      </c>
      <c r="K38" s="72"/>
      <c r="L38" s="72"/>
      <c r="M38" s="72"/>
      <c r="N38" s="72"/>
      <c r="O38" s="72"/>
      <c r="P38" s="72"/>
      <c r="Q38" s="72"/>
      <c r="R38" s="72"/>
      <c r="S38" s="72"/>
      <c r="T38" s="73"/>
      <c r="U38" s="73"/>
      <c r="V38" s="73"/>
      <c r="W38" s="73"/>
      <c r="X38" s="73"/>
      <c r="Y38" s="71"/>
    </row>
    <row r="39" spans="1:25" ht="16.149999999999999" customHeight="1" thickTop="1" thickBot="1" x14ac:dyDescent="0.3">
      <c r="A39" s="188"/>
      <c r="B39" s="117" t="s">
        <v>9</v>
      </c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6"/>
      <c r="U39" s="76"/>
      <c r="V39" s="76"/>
      <c r="W39" s="76"/>
      <c r="X39" s="76"/>
      <c r="Y39" s="77"/>
    </row>
    <row r="40" spans="1:25" ht="16.149999999999999" customHeight="1" thickTop="1" thickBot="1" x14ac:dyDescent="0.3">
      <c r="A40" s="188"/>
      <c r="B40" s="118" t="s">
        <v>14</v>
      </c>
      <c r="C40" s="102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3"/>
      <c r="S40" s="103"/>
      <c r="T40" s="104"/>
      <c r="U40" s="104"/>
      <c r="V40" s="104"/>
      <c r="W40" s="104"/>
      <c r="X40" s="104"/>
      <c r="Y40" s="105"/>
    </row>
    <row r="41" spans="1:25" ht="16.149999999999999" customHeight="1" thickTop="1" thickBot="1" x14ac:dyDescent="0.3">
      <c r="A41" s="188" t="s">
        <v>24</v>
      </c>
      <c r="B41" s="106" t="s">
        <v>10</v>
      </c>
      <c r="C41" s="106"/>
      <c r="D41" s="106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84"/>
      <c r="U41" s="84"/>
      <c r="V41" s="84"/>
      <c r="W41" s="84"/>
      <c r="X41" s="84"/>
      <c r="Y41" s="84"/>
    </row>
    <row r="42" spans="1:25" ht="16.149999999999999" customHeight="1" thickTop="1" thickBot="1" x14ac:dyDescent="0.3">
      <c r="A42" s="188"/>
      <c r="B42" s="107" t="s">
        <v>11</v>
      </c>
      <c r="C42" s="107"/>
      <c r="D42" s="107"/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88"/>
      <c r="U42" s="88"/>
      <c r="V42" s="88"/>
      <c r="W42" s="88"/>
      <c r="X42" s="88"/>
      <c r="Y42" s="88"/>
    </row>
    <row r="43" spans="1:25" ht="31.5" thickTop="1" thickBot="1" x14ac:dyDescent="0.3">
      <c r="A43" s="188"/>
      <c r="B43" s="107" t="s">
        <v>12</v>
      </c>
      <c r="C43" s="109" t="s">
        <v>82</v>
      </c>
      <c r="D43" s="108"/>
      <c r="E43" s="69"/>
      <c r="F43" s="69"/>
      <c r="G43" s="69"/>
      <c r="H43" s="69"/>
      <c r="I43" s="69"/>
      <c r="J43" s="69"/>
      <c r="K43" s="69"/>
      <c r="L43" s="69"/>
      <c r="M43" s="124"/>
      <c r="N43" s="69"/>
      <c r="O43" s="69"/>
      <c r="P43" s="69"/>
      <c r="Q43" s="69"/>
      <c r="R43" s="124"/>
      <c r="S43" s="124"/>
      <c r="T43" s="70"/>
      <c r="U43" s="70"/>
      <c r="V43" s="70"/>
      <c r="W43" s="70"/>
      <c r="X43" s="70"/>
      <c r="Y43" s="70"/>
    </row>
    <row r="44" spans="1:25" ht="16.5" thickTop="1" thickBot="1" x14ac:dyDescent="0.3">
      <c r="A44" s="188"/>
      <c r="B44" s="109" t="s">
        <v>7</v>
      </c>
      <c r="C44" s="109"/>
      <c r="D44" s="109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3"/>
      <c r="U44" s="73"/>
      <c r="V44" s="73"/>
      <c r="W44" s="73"/>
      <c r="X44" s="73"/>
      <c r="Y44" s="73"/>
    </row>
    <row r="45" spans="1:25" ht="16.5" thickTop="1" thickBot="1" x14ac:dyDescent="0.3">
      <c r="A45" s="188"/>
      <c r="B45" s="109" t="s">
        <v>8</v>
      </c>
      <c r="C45" s="109"/>
      <c r="D45" s="109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3"/>
      <c r="U45" s="73"/>
      <c r="V45" s="73"/>
      <c r="W45" s="73"/>
      <c r="X45" s="73"/>
      <c r="Y45" s="73"/>
    </row>
    <row r="46" spans="1:25" ht="16.5" thickTop="1" thickBot="1" x14ac:dyDescent="0.3">
      <c r="A46" s="188"/>
      <c r="B46" s="110" t="s">
        <v>9</v>
      </c>
      <c r="C46" s="110"/>
      <c r="D46" s="110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5"/>
      <c r="S46" s="75"/>
      <c r="T46" s="76"/>
      <c r="U46" s="76"/>
      <c r="V46" s="76"/>
      <c r="W46" s="76"/>
      <c r="X46" s="76"/>
      <c r="Y46" s="76"/>
    </row>
    <row r="47" spans="1:25" ht="16.5" thickTop="1" thickBot="1" x14ac:dyDescent="0.3">
      <c r="A47" s="188"/>
      <c r="B47" s="118" t="s">
        <v>14</v>
      </c>
      <c r="C47" s="111"/>
      <c r="D47" s="111"/>
      <c r="E47" s="103"/>
      <c r="F47" s="103"/>
      <c r="G47" s="103"/>
      <c r="H47" s="103"/>
      <c r="I47" s="103"/>
      <c r="J47" s="103"/>
      <c r="K47" s="103"/>
      <c r="L47" s="103"/>
      <c r="M47" s="103"/>
      <c r="N47" s="103"/>
      <c r="O47" s="103"/>
      <c r="P47" s="103"/>
      <c r="Q47" s="103"/>
      <c r="R47" s="103"/>
      <c r="S47" s="103"/>
      <c r="T47" s="104"/>
      <c r="U47" s="104"/>
      <c r="V47" s="104"/>
      <c r="W47" s="104"/>
      <c r="X47" s="104"/>
      <c r="Y47" s="104"/>
    </row>
    <row r="48" spans="1:25" ht="15.75" thickTop="1" x14ac:dyDescent="0.25"/>
    <row r="49" spans="1:5" x14ac:dyDescent="0.25">
      <c r="A49" t="s">
        <v>42</v>
      </c>
      <c r="B49" s="122" t="s">
        <v>43</v>
      </c>
    </row>
    <row r="50" spans="1:5" x14ac:dyDescent="0.25">
      <c r="A50" s="156" t="s">
        <v>162</v>
      </c>
      <c r="B50" s="157" t="s">
        <v>86</v>
      </c>
      <c r="E50" s="125"/>
    </row>
    <row r="51" spans="1:5" x14ac:dyDescent="0.25">
      <c r="A51" s="156" t="s">
        <v>162</v>
      </c>
      <c r="B51" s="157" t="s">
        <v>87</v>
      </c>
      <c r="E51" s="125"/>
    </row>
    <row r="52" spans="1:5" x14ac:dyDescent="0.25">
      <c r="A52" s="158" t="s">
        <v>140</v>
      </c>
      <c r="B52" s="157" t="s">
        <v>88</v>
      </c>
      <c r="E52" s="125"/>
    </row>
    <row r="53" spans="1:5" x14ac:dyDescent="0.25">
      <c r="A53" s="158" t="s">
        <v>162</v>
      </c>
      <c r="B53" s="157" t="s">
        <v>89</v>
      </c>
      <c r="E53" s="125"/>
    </row>
    <row r="54" spans="1:5" x14ac:dyDescent="0.25">
      <c r="A54" s="158" t="s">
        <v>162</v>
      </c>
      <c r="B54" s="157" t="s">
        <v>90</v>
      </c>
      <c r="E54" s="125"/>
    </row>
    <row r="55" spans="1:5" x14ac:dyDescent="0.25">
      <c r="A55" s="159" t="s">
        <v>147</v>
      </c>
      <c r="B55" s="157" t="s">
        <v>91</v>
      </c>
      <c r="E55" s="125"/>
    </row>
    <row r="56" spans="1:5" x14ac:dyDescent="0.25">
      <c r="A56" s="159" t="s">
        <v>147</v>
      </c>
      <c r="B56" s="157" t="s">
        <v>92</v>
      </c>
      <c r="E56" s="125"/>
    </row>
    <row r="57" spans="1:5" x14ac:dyDescent="0.25">
      <c r="A57" s="160" t="s">
        <v>147</v>
      </c>
      <c r="B57" s="161" t="s">
        <v>93</v>
      </c>
      <c r="E57" s="125"/>
    </row>
    <row r="58" spans="1:5" x14ac:dyDescent="0.25">
      <c r="A58" s="160" t="s">
        <v>163</v>
      </c>
      <c r="B58" s="161" t="s">
        <v>94</v>
      </c>
      <c r="E58" s="125"/>
    </row>
    <row r="59" spans="1:5" x14ac:dyDescent="0.25">
      <c r="A59" s="160" t="s">
        <v>147</v>
      </c>
      <c r="B59" s="161" t="s">
        <v>95</v>
      </c>
      <c r="E59" s="125"/>
    </row>
    <row r="60" spans="1:5" x14ac:dyDescent="0.25">
      <c r="A60" s="160" t="s">
        <v>163</v>
      </c>
      <c r="B60" s="161" t="s">
        <v>96</v>
      </c>
      <c r="E60" s="125"/>
    </row>
    <row r="61" spans="1:5" x14ac:dyDescent="0.25">
      <c r="A61" s="160" t="s">
        <v>153</v>
      </c>
      <c r="B61" s="161" t="s">
        <v>97</v>
      </c>
      <c r="E61" s="125"/>
    </row>
    <row r="62" spans="1:5" x14ac:dyDescent="0.25">
      <c r="A62" s="160" t="s">
        <v>163</v>
      </c>
      <c r="B62" s="161" t="s">
        <v>98</v>
      </c>
      <c r="E62" s="125"/>
    </row>
    <row r="63" spans="1:5" x14ac:dyDescent="0.25">
      <c r="A63" s="160" t="s">
        <v>140</v>
      </c>
      <c r="B63" s="161" t="s">
        <v>99</v>
      </c>
      <c r="E63" s="125"/>
    </row>
    <row r="64" spans="1:5" x14ac:dyDescent="0.25">
      <c r="A64" s="160" t="s">
        <v>147</v>
      </c>
      <c r="B64" s="161" t="s">
        <v>100</v>
      </c>
      <c r="E64" s="125"/>
    </row>
    <row r="65" spans="1:5" x14ac:dyDescent="0.25">
      <c r="A65" s="128" t="s">
        <v>158</v>
      </c>
      <c r="B65" s="129" t="s">
        <v>101</v>
      </c>
      <c r="E65" s="125"/>
    </row>
    <row r="66" spans="1:5" x14ac:dyDescent="0.25">
      <c r="A66" s="128" t="s">
        <v>158</v>
      </c>
      <c r="B66" s="129" t="s">
        <v>102</v>
      </c>
      <c r="E66" s="125"/>
    </row>
    <row r="67" spans="1:5" x14ac:dyDescent="0.25">
      <c r="A67" s="128" t="s">
        <v>158</v>
      </c>
      <c r="B67" s="129" t="s">
        <v>103</v>
      </c>
      <c r="E67" s="125"/>
    </row>
    <row r="68" spans="1:5" x14ac:dyDescent="0.25">
      <c r="A68" s="128" t="s">
        <v>153</v>
      </c>
      <c r="B68" s="129" t="s">
        <v>150</v>
      </c>
    </row>
    <row r="69" spans="1:5" x14ac:dyDescent="0.25">
      <c r="A69" s="128" t="s">
        <v>140</v>
      </c>
      <c r="B69" s="129" t="s">
        <v>151</v>
      </c>
    </row>
    <row r="70" spans="1:5" x14ac:dyDescent="0.25">
      <c r="A70" s="130" t="s">
        <v>163</v>
      </c>
      <c r="B70" s="131" t="s">
        <v>237</v>
      </c>
    </row>
  </sheetData>
  <mergeCells count="8">
    <mergeCell ref="A34:A40"/>
    <mergeCell ref="A41:A47"/>
    <mergeCell ref="A1:I3"/>
    <mergeCell ref="A4:B4"/>
    <mergeCell ref="A6:A12"/>
    <mergeCell ref="A13:A19"/>
    <mergeCell ref="A20:A26"/>
    <mergeCell ref="A27:A33"/>
  </mergeCells>
  <conditionalFormatting sqref="H6:Y6">
    <cfRule type="containsText" dxfId="233" priority="20" operator="containsText" text=" Анікєєв">
      <formula>NOT(ISERROR(SEARCH(" Анікєєв",H6)))</formula>
    </cfRule>
  </conditionalFormatting>
  <conditionalFormatting sqref="D7:X7">
    <cfRule type="containsText" dxfId="232" priority="19" operator="containsText" text=" Анікєєв">
      <formula>NOT(ISERROR(SEARCH(" Анікєєв",D7)))</formula>
    </cfRule>
  </conditionalFormatting>
  <conditionalFormatting sqref="D8:X8">
    <cfRule type="containsText" dxfId="231" priority="18" operator="containsText" text=" Анікєєв">
      <formula>NOT(ISERROR(SEARCH(" Анікєєв",D8)))</formula>
    </cfRule>
  </conditionalFormatting>
  <conditionalFormatting sqref="D9:X9">
    <cfRule type="containsText" dxfId="230" priority="17" operator="containsText" text=" Анікєєв">
      <formula>NOT(ISERROR(SEARCH(" Анікєєв",D9)))</formula>
    </cfRule>
  </conditionalFormatting>
  <conditionalFormatting sqref="E10:X10 D11:X11">
    <cfRule type="containsText" dxfId="229" priority="16" operator="containsText" text=" Анікєєв">
      <formula>NOT(ISERROR(SEARCH(" Анікєєв",D10)))</formula>
    </cfRule>
  </conditionalFormatting>
  <conditionalFormatting sqref="D12:X12">
    <cfRule type="containsText" dxfId="228" priority="15" operator="containsText" text=" Анікєєв">
      <formula>NOT(ISERROR(SEARCH(" Анікєєв",D12)))</formula>
    </cfRule>
  </conditionalFormatting>
  <conditionalFormatting sqref="D16:X17 F15:X15 D19:X19 H18:X18 L13:X14 D13:K13">
    <cfRule type="containsText" dxfId="227" priority="14" operator="containsText" text=" Анікєєв">
      <formula>NOT(ISERROR(SEARCH(" Анікєєв",D13)))</formula>
    </cfRule>
  </conditionalFormatting>
  <conditionalFormatting sqref="D23:X24 D22:E22 G21:X22 S25:X25 F20:X20">
    <cfRule type="containsText" dxfId="226" priority="13" operator="containsText" text=" Анікєєв">
      <formula>NOT(ISERROR(SEARCH(" Анікєєв",D20)))</formula>
    </cfRule>
  </conditionalFormatting>
  <conditionalFormatting sqref="F32:X32 F29:X29 L27:X28 F27:K27 K30:X31 I30:J30">
    <cfRule type="containsText" dxfId="225" priority="12" operator="containsText" text=" Анікєєв">
      <formula>NOT(ISERROR(SEARCH(" Анікєєв",F27)))</formula>
    </cfRule>
  </conditionalFormatting>
  <conditionalFormatting sqref="L34:X34">
    <cfRule type="containsText" dxfId="224" priority="11" operator="containsText" text=" Анікєєв">
      <formula>NOT(ISERROR(SEARCH(" Анікєєв",L34)))</formula>
    </cfRule>
  </conditionalFormatting>
  <conditionalFormatting sqref="F33:X33">
    <cfRule type="containsText" dxfId="223" priority="10" operator="containsText" text=" Анікєєв">
      <formula>NOT(ISERROR(SEARCH(" Анікєєв",F33)))</formula>
    </cfRule>
  </conditionalFormatting>
  <conditionalFormatting sqref="C36:C40 D36:E38 F37:J38">
    <cfRule type="containsText" dxfId="222" priority="9" operator="containsText" text=" Анікєєв">
      <formula>NOT(ISERROR(SEARCH(" Анікєєв",C36)))</formula>
    </cfRule>
  </conditionalFormatting>
  <conditionalFormatting sqref="B41:Y41">
    <cfRule type="containsText" dxfId="221" priority="8" operator="containsText" text=" Анікєєв">
      <formula>NOT(ISERROR(SEARCH(" Анікєєв",B41)))</formula>
    </cfRule>
  </conditionalFormatting>
  <conditionalFormatting sqref="C27:E28 F28:K28">
    <cfRule type="containsText" dxfId="220" priority="7" operator="containsText" text=" Анікєєв">
      <formula>NOT(ISERROR(SEARCH(" Анікєєв",C27)))</formula>
    </cfRule>
  </conditionalFormatting>
  <conditionalFormatting sqref="C34:K34">
    <cfRule type="containsText" dxfId="219" priority="6" operator="containsText" text=" Анікєєв">
      <formula>NOT(ISERROR(SEARCH(" Анікєєв",C34)))</formula>
    </cfRule>
  </conditionalFormatting>
  <conditionalFormatting sqref="D20:D21">
    <cfRule type="containsText" dxfId="218" priority="5" operator="containsText" text=" Анікєєв">
      <formula>NOT(ISERROR(SEARCH(" Анікєєв",D20)))</formula>
    </cfRule>
  </conditionalFormatting>
  <conditionalFormatting sqref="C8">
    <cfRule type="containsText" dxfId="217" priority="4" operator="containsText" text=" Анікєєв">
      <formula>NOT(ISERROR(SEARCH(" Анікєєв",C8)))</formula>
    </cfRule>
  </conditionalFormatting>
  <conditionalFormatting sqref="D6:G6">
    <cfRule type="containsText" dxfId="216" priority="3" operator="containsText" text=" Анікєєв">
      <formula>NOT(ISERROR(SEARCH(" Анікєєв",D6)))</formula>
    </cfRule>
  </conditionalFormatting>
  <conditionalFormatting sqref="E20:E21 F21">
    <cfRule type="containsText" dxfId="215" priority="2" operator="containsText" text=" Анікєєв">
      <formula>NOT(ISERROR(SEARCH(" Анікєєв",E20)))</formula>
    </cfRule>
  </conditionalFormatting>
  <conditionalFormatting sqref="F22">
    <cfRule type="containsText" dxfId="214" priority="1" operator="containsText" text=" Анікєєв">
      <formula>NOT(ISERROR(SEARCH(" Анікєєв",F22)))</formula>
    </cfRule>
  </conditionalFormatting>
  <pageMargins left="0.31496062992125984" right="0.31496062992125984" top="0.39370078740157483" bottom="0.35433070866141736" header="0.31496062992125984" footer="0.31496062992125984"/>
  <pageSetup paperSize="9" scale="50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9"/>
  <dimension ref="A1:Y70"/>
  <sheetViews>
    <sheetView zoomScale="85" zoomScaleNormal="85" workbookViewId="0">
      <pane xSplit="6" ySplit="5" topLeftCell="G33" activePane="bottomRight" state="frozenSplit"/>
      <selection pane="topRight" activeCell="I1" sqref="I1"/>
      <selection pane="bottomLeft" activeCell="A22" sqref="A22"/>
      <selection pane="bottomRight" activeCell="J52" sqref="J52"/>
    </sheetView>
  </sheetViews>
  <sheetFormatPr defaultRowHeight="15" x14ac:dyDescent="0.25"/>
  <cols>
    <col min="1" max="1" width="21.7109375" customWidth="1"/>
    <col min="2" max="2" width="11.85546875" customWidth="1"/>
    <col min="3" max="4" width="24.28515625" hidden="1" customWidth="1"/>
    <col min="5" max="6" width="33.7109375" hidden="1" customWidth="1"/>
    <col min="7" max="7" width="36.85546875" customWidth="1"/>
    <col min="8" max="8" width="32.7109375" bestFit="1" customWidth="1"/>
    <col min="9" max="9" width="33.7109375" bestFit="1" customWidth="1"/>
    <col min="10" max="10" width="32.85546875" customWidth="1"/>
    <col min="11" max="12" width="32.7109375" bestFit="1" customWidth="1"/>
    <col min="13" max="16" width="24.28515625" bestFit="1" customWidth="1"/>
    <col min="17" max="17" width="28.42578125" customWidth="1"/>
    <col min="18" max="18" width="24.28515625" bestFit="1" customWidth="1"/>
    <col min="19" max="21" width="25" bestFit="1" customWidth="1"/>
    <col min="22" max="22" width="25" customWidth="1"/>
    <col min="23" max="23" width="25" bestFit="1" customWidth="1"/>
    <col min="24" max="24" width="25" customWidth="1"/>
    <col min="25" max="25" width="25" bestFit="1" customWidth="1"/>
  </cols>
  <sheetData>
    <row r="1" spans="1:25" ht="15" customHeight="1" x14ac:dyDescent="0.25">
      <c r="A1" s="189" t="s">
        <v>22</v>
      </c>
      <c r="B1" s="189"/>
      <c r="C1" s="189"/>
      <c r="D1" s="189"/>
      <c r="E1" s="189"/>
      <c r="F1" s="189"/>
      <c r="G1" s="189"/>
      <c r="H1" s="189"/>
      <c r="I1" s="189"/>
      <c r="J1" s="9"/>
      <c r="K1" s="9"/>
      <c r="L1" s="9"/>
      <c r="M1" s="9"/>
      <c r="N1" s="9"/>
      <c r="O1" s="9"/>
      <c r="P1" s="9"/>
      <c r="Q1" s="9"/>
      <c r="R1" s="9"/>
    </row>
    <row r="2" spans="1:25" x14ac:dyDescent="0.25">
      <c r="A2" s="189"/>
      <c r="B2" s="189"/>
      <c r="C2" s="189"/>
      <c r="D2" s="189"/>
      <c r="E2" s="189"/>
      <c r="F2" s="189"/>
      <c r="G2" s="189"/>
      <c r="H2" s="189"/>
      <c r="I2" s="189"/>
      <c r="J2" s="9"/>
      <c r="K2" s="9"/>
      <c r="L2" s="9"/>
      <c r="M2" s="9"/>
      <c r="N2" s="9"/>
      <c r="O2" s="9"/>
      <c r="P2" s="9"/>
      <c r="Q2" s="9"/>
      <c r="R2" s="9"/>
    </row>
    <row r="3" spans="1:25" ht="15.75" thickBot="1" x14ac:dyDescent="0.3">
      <c r="A3" s="190"/>
      <c r="B3" s="190"/>
      <c r="C3" s="190"/>
      <c r="D3" s="190"/>
      <c r="E3" s="190"/>
      <c r="F3" s="190"/>
      <c r="G3" s="190"/>
      <c r="H3" s="190"/>
      <c r="I3" s="190"/>
      <c r="J3" s="9"/>
      <c r="K3" s="9"/>
      <c r="L3" s="9"/>
      <c r="M3" s="9"/>
      <c r="N3" s="9"/>
      <c r="O3" s="9"/>
      <c r="P3" s="9"/>
      <c r="Q3" s="9"/>
      <c r="R3" s="9"/>
    </row>
    <row r="4" spans="1:25" s="113" customFormat="1" ht="22.5" thickTop="1" thickBot="1" x14ac:dyDescent="0.35">
      <c r="A4" s="191" t="s">
        <v>13</v>
      </c>
      <c r="B4" s="192"/>
      <c r="C4" s="1">
        <v>1</v>
      </c>
      <c r="D4" s="1">
        <v>2</v>
      </c>
      <c r="E4" s="1">
        <v>3</v>
      </c>
      <c r="F4" s="1">
        <v>4</v>
      </c>
      <c r="G4" s="1">
        <v>5</v>
      </c>
      <c r="H4" s="1">
        <v>6</v>
      </c>
      <c r="I4" s="1">
        <v>7</v>
      </c>
      <c r="J4" s="1">
        <v>8</v>
      </c>
      <c r="K4" s="1">
        <v>9</v>
      </c>
      <c r="L4" s="1">
        <v>10</v>
      </c>
      <c r="M4" s="1">
        <v>11</v>
      </c>
      <c r="N4" s="1">
        <v>12</v>
      </c>
      <c r="O4" s="1">
        <v>13</v>
      </c>
      <c r="P4" s="1">
        <v>14</v>
      </c>
      <c r="Q4" s="1">
        <v>15</v>
      </c>
      <c r="R4" s="1">
        <v>16</v>
      </c>
      <c r="S4" s="1">
        <v>17</v>
      </c>
      <c r="T4" s="112">
        <v>18</v>
      </c>
      <c r="U4" s="112">
        <v>19</v>
      </c>
      <c r="V4" s="112">
        <v>20</v>
      </c>
      <c r="W4" s="112">
        <v>21</v>
      </c>
      <c r="X4" s="112">
        <v>22</v>
      </c>
      <c r="Y4" s="112">
        <v>23</v>
      </c>
    </row>
    <row r="5" spans="1:25" ht="21.75" thickTop="1" thickBot="1" x14ac:dyDescent="0.35">
      <c r="A5" s="2" t="s">
        <v>0</v>
      </c>
      <c r="B5" s="3" t="s">
        <v>1</v>
      </c>
      <c r="C5" s="4" t="s">
        <v>49</v>
      </c>
      <c r="D5" s="4" t="s">
        <v>50</v>
      </c>
      <c r="E5" s="4" t="s">
        <v>51</v>
      </c>
      <c r="F5" s="4" t="s">
        <v>52</v>
      </c>
      <c r="G5" s="4" t="s">
        <v>48</v>
      </c>
      <c r="H5" s="4" t="s">
        <v>47</v>
      </c>
      <c r="I5" s="4" t="s">
        <v>46</v>
      </c>
      <c r="J5" s="4" t="s">
        <v>45</v>
      </c>
      <c r="K5" s="4" t="s">
        <v>53</v>
      </c>
      <c r="L5" s="4" t="s">
        <v>54</v>
      </c>
      <c r="M5" s="4" t="s">
        <v>61</v>
      </c>
      <c r="N5" s="4" t="s">
        <v>60</v>
      </c>
      <c r="O5" s="4" t="s">
        <v>59</v>
      </c>
      <c r="P5" s="4" t="s">
        <v>58</v>
      </c>
      <c r="Q5" s="4" t="s">
        <v>57</v>
      </c>
      <c r="R5" s="4" t="s">
        <v>56</v>
      </c>
      <c r="S5" s="4" t="s">
        <v>55</v>
      </c>
      <c r="T5" s="114"/>
      <c r="U5" s="114"/>
      <c r="V5" s="114"/>
      <c r="W5" s="114"/>
      <c r="X5" s="114"/>
      <c r="Y5" s="114"/>
    </row>
    <row r="6" spans="1:25" s="8" customFormat="1" ht="16.5" thickTop="1" thickBot="1" x14ac:dyDescent="0.3">
      <c r="A6" s="193" t="s">
        <v>2</v>
      </c>
      <c r="B6" s="115" t="s">
        <v>10</v>
      </c>
      <c r="C6" s="65"/>
      <c r="D6" s="66"/>
      <c r="E6" s="66"/>
      <c r="F6" s="66"/>
      <c r="G6" s="66"/>
      <c r="H6" s="66"/>
      <c r="I6" s="66"/>
      <c r="J6" s="152"/>
      <c r="K6" s="152"/>
      <c r="L6" s="152"/>
      <c r="M6" s="66"/>
      <c r="N6" s="66"/>
      <c r="O6" s="66"/>
      <c r="P6" s="66"/>
      <c r="Q6" s="66"/>
      <c r="R6" s="66"/>
      <c r="S6" s="66"/>
      <c r="T6" s="67"/>
      <c r="U6" s="67"/>
      <c r="V6" s="67"/>
      <c r="W6" s="67"/>
      <c r="X6" s="67"/>
      <c r="Y6" s="67"/>
    </row>
    <row r="7" spans="1:25" s="8" customFormat="1" ht="16.5" thickTop="1" thickBot="1" x14ac:dyDescent="0.3">
      <c r="A7" s="193"/>
      <c r="B7" s="116" t="s">
        <v>11</v>
      </c>
      <c r="C7" s="68"/>
      <c r="D7" s="69"/>
      <c r="E7" s="143" t="s">
        <v>130</v>
      </c>
      <c r="F7" s="143" t="s">
        <v>130</v>
      </c>
      <c r="G7" s="143" t="s">
        <v>130</v>
      </c>
      <c r="H7" s="69"/>
      <c r="I7" s="69"/>
      <c r="J7" s="170"/>
      <c r="K7" s="170"/>
      <c r="L7" s="170"/>
      <c r="M7" s="69"/>
      <c r="N7" s="69"/>
      <c r="O7" s="69"/>
      <c r="P7" s="69"/>
      <c r="Q7" s="69"/>
      <c r="R7" s="69"/>
      <c r="S7" s="69"/>
      <c r="T7" s="70"/>
      <c r="U7" s="70"/>
      <c r="V7" s="70"/>
      <c r="W7" s="70"/>
      <c r="X7" s="70"/>
      <c r="Y7" s="71"/>
    </row>
    <row r="8" spans="1:25" s="8" customFormat="1" ht="31.5" thickTop="1" thickBot="1" x14ac:dyDescent="0.3">
      <c r="A8" s="193"/>
      <c r="B8" s="116" t="s">
        <v>12</v>
      </c>
      <c r="C8" s="68"/>
      <c r="D8" s="72"/>
      <c r="E8" s="143" t="s">
        <v>130</v>
      </c>
      <c r="F8" s="143" t="s">
        <v>130</v>
      </c>
      <c r="G8" s="143" t="s">
        <v>130</v>
      </c>
      <c r="H8" s="72" t="s">
        <v>290</v>
      </c>
      <c r="I8" s="72" t="s">
        <v>290</v>
      </c>
      <c r="J8" s="72" t="s">
        <v>329</v>
      </c>
      <c r="K8" s="72" t="s">
        <v>329</v>
      </c>
      <c r="L8" s="72" t="s">
        <v>329</v>
      </c>
      <c r="M8" s="72"/>
      <c r="N8" s="72"/>
      <c r="O8" s="72"/>
      <c r="P8" s="72"/>
      <c r="Q8" s="72"/>
      <c r="R8" s="72"/>
      <c r="S8" s="72"/>
      <c r="T8" s="73"/>
      <c r="U8" s="73"/>
      <c r="V8" s="73"/>
      <c r="W8" s="73"/>
      <c r="X8" s="73"/>
      <c r="Y8" s="71"/>
    </row>
    <row r="9" spans="1:25" s="8" customFormat="1" ht="31.5" thickTop="1" thickBot="1" x14ac:dyDescent="0.3">
      <c r="A9" s="193"/>
      <c r="B9" s="116" t="s">
        <v>7</v>
      </c>
      <c r="C9" s="68"/>
      <c r="D9" s="72"/>
      <c r="E9" s="72"/>
      <c r="F9" s="72"/>
      <c r="G9" s="72"/>
      <c r="H9" s="72" t="s">
        <v>290</v>
      </c>
      <c r="I9" s="72" t="s">
        <v>290</v>
      </c>
      <c r="J9" s="72" t="s">
        <v>329</v>
      </c>
      <c r="K9" s="72" t="s">
        <v>329</v>
      </c>
      <c r="L9" s="72" t="s">
        <v>329</v>
      </c>
      <c r="M9" s="72"/>
      <c r="N9" s="72"/>
      <c r="O9" s="72"/>
      <c r="P9" s="72"/>
      <c r="Q9" s="72"/>
      <c r="R9" s="72"/>
      <c r="S9" s="72"/>
      <c r="T9" s="73"/>
      <c r="U9" s="73"/>
      <c r="V9" s="73"/>
      <c r="W9" s="73"/>
      <c r="X9" s="73"/>
      <c r="Y9" s="71"/>
    </row>
    <row r="10" spans="1:25" s="8" customFormat="1" ht="31.5" thickTop="1" thickBot="1" x14ac:dyDescent="0.3">
      <c r="A10" s="193"/>
      <c r="B10" s="116" t="s">
        <v>8</v>
      </c>
      <c r="C10" s="68"/>
      <c r="D10" s="72"/>
      <c r="E10" s="72"/>
      <c r="F10" s="72"/>
      <c r="G10" s="72"/>
      <c r="H10" s="72" t="s">
        <v>291</v>
      </c>
      <c r="I10" s="72" t="s">
        <v>291</v>
      </c>
      <c r="J10" s="72" t="s">
        <v>330</v>
      </c>
      <c r="K10" s="72" t="s">
        <v>330</v>
      </c>
      <c r="L10" s="72" t="s">
        <v>330</v>
      </c>
      <c r="M10" s="72"/>
      <c r="N10" s="72"/>
      <c r="O10" s="72"/>
      <c r="P10" s="72"/>
      <c r="Q10" s="72"/>
      <c r="R10" s="72"/>
      <c r="S10" s="72"/>
      <c r="T10" s="73"/>
      <c r="U10" s="73"/>
      <c r="V10" s="73"/>
      <c r="W10" s="73"/>
      <c r="X10" s="73"/>
      <c r="Y10" s="71"/>
    </row>
    <row r="11" spans="1:25" s="8" customFormat="1" ht="31.5" thickTop="1" thickBot="1" x14ac:dyDescent="0.3">
      <c r="A11" s="193"/>
      <c r="B11" s="117" t="s">
        <v>9</v>
      </c>
      <c r="C11" s="74"/>
      <c r="D11" s="75"/>
      <c r="E11" s="75"/>
      <c r="F11" s="75"/>
      <c r="G11" s="75"/>
      <c r="H11" s="75" t="s">
        <v>291</v>
      </c>
      <c r="I11" s="75" t="s">
        <v>291</v>
      </c>
      <c r="J11" s="72" t="s">
        <v>330</v>
      </c>
      <c r="K11" s="72" t="s">
        <v>330</v>
      </c>
      <c r="L11" s="72" t="s">
        <v>330</v>
      </c>
      <c r="M11" s="75"/>
      <c r="N11" s="75"/>
      <c r="O11" s="75"/>
      <c r="P11" s="75"/>
      <c r="Q11" s="75"/>
      <c r="R11" s="75"/>
      <c r="S11" s="75"/>
      <c r="T11" s="76"/>
      <c r="U11" s="76"/>
      <c r="V11" s="76"/>
      <c r="W11" s="76"/>
      <c r="X11" s="76"/>
      <c r="Y11" s="77"/>
    </row>
    <row r="12" spans="1:25" s="11" customFormat="1" ht="16.5" thickTop="1" thickBot="1" x14ac:dyDescent="0.3">
      <c r="A12" s="193"/>
      <c r="B12" s="118" t="s">
        <v>14</v>
      </c>
      <c r="C12" s="78"/>
      <c r="D12" s="79"/>
      <c r="E12" s="79"/>
      <c r="F12" s="79"/>
      <c r="G12" s="79"/>
      <c r="H12" s="79"/>
      <c r="I12" s="79"/>
      <c r="J12" s="171"/>
      <c r="K12" s="171"/>
      <c r="L12" s="171"/>
      <c r="M12" s="79"/>
      <c r="N12" s="79"/>
      <c r="O12" s="79"/>
      <c r="P12" s="79"/>
      <c r="Q12" s="79"/>
      <c r="R12" s="79"/>
      <c r="S12" s="79"/>
      <c r="T12" s="80"/>
      <c r="U12" s="80"/>
      <c r="V12" s="80"/>
      <c r="W12" s="80"/>
      <c r="X12" s="80"/>
      <c r="Y12" s="81"/>
    </row>
    <row r="13" spans="1:25" s="11" customFormat="1" ht="16.5" thickTop="1" thickBot="1" x14ac:dyDescent="0.3">
      <c r="A13" s="194" t="s">
        <v>3</v>
      </c>
      <c r="B13" s="97" t="s">
        <v>10</v>
      </c>
      <c r="C13" s="82"/>
      <c r="D13" s="83"/>
      <c r="E13" s="83"/>
      <c r="F13" s="83"/>
      <c r="G13" s="83"/>
      <c r="H13" s="83"/>
      <c r="I13" s="83"/>
      <c r="J13" s="147"/>
      <c r="K13" s="147"/>
      <c r="L13" s="147"/>
      <c r="M13" s="83"/>
      <c r="N13" s="83"/>
      <c r="O13" s="83"/>
      <c r="P13" s="83"/>
      <c r="Q13" s="83"/>
      <c r="R13" s="83"/>
      <c r="S13" s="83"/>
      <c r="T13" s="84"/>
      <c r="U13" s="84"/>
      <c r="V13" s="84"/>
      <c r="W13" s="84"/>
      <c r="X13" s="84"/>
      <c r="Y13" s="85"/>
    </row>
    <row r="14" spans="1:25" s="11" customFormat="1" ht="16.5" thickTop="1" thickBot="1" x14ac:dyDescent="0.3">
      <c r="A14" s="194"/>
      <c r="B14" s="119" t="s">
        <v>11</v>
      </c>
      <c r="C14" s="86"/>
      <c r="D14" s="87"/>
      <c r="E14" s="87"/>
      <c r="F14" s="87"/>
      <c r="G14" s="87"/>
      <c r="H14" s="87"/>
      <c r="I14" s="87"/>
      <c r="J14" s="90"/>
      <c r="K14" s="90"/>
      <c r="L14" s="90"/>
      <c r="M14" s="87"/>
      <c r="N14" s="87"/>
      <c r="O14" s="87"/>
      <c r="P14" s="87"/>
      <c r="Q14" s="87"/>
      <c r="R14" s="87"/>
      <c r="S14" s="87"/>
      <c r="T14" s="88"/>
      <c r="U14" s="88"/>
      <c r="V14" s="88"/>
      <c r="W14" s="88"/>
      <c r="X14" s="88"/>
      <c r="Y14" s="71"/>
    </row>
    <row r="15" spans="1:25" s="11" customFormat="1" ht="31.5" thickTop="1" thickBot="1" x14ac:dyDescent="0.3">
      <c r="A15" s="194"/>
      <c r="B15" s="119" t="s">
        <v>12</v>
      </c>
      <c r="C15" s="144" t="s">
        <v>130</v>
      </c>
      <c r="D15" s="144" t="s">
        <v>130</v>
      </c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73"/>
      <c r="U15" s="73"/>
      <c r="V15" s="73"/>
      <c r="W15" s="73"/>
      <c r="X15" s="73"/>
      <c r="Y15" s="71"/>
    </row>
    <row r="16" spans="1:25" s="11" customFormat="1" ht="31.5" thickTop="1" thickBot="1" x14ac:dyDescent="0.3">
      <c r="A16" s="194"/>
      <c r="B16" s="119" t="s">
        <v>7</v>
      </c>
      <c r="C16" s="86"/>
      <c r="D16" s="87"/>
      <c r="E16" s="87"/>
      <c r="F16" s="87"/>
      <c r="G16" s="87"/>
      <c r="H16" s="87" t="s">
        <v>282</v>
      </c>
      <c r="I16" s="87" t="s">
        <v>282</v>
      </c>
      <c r="J16" s="90" t="s">
        <v>334</v>
      </c>
      <c r="K16" s="90" t="s">
        <v>334</v>
      </c>
      <c r="L16" s="90" t="s">
        <v>334</v>
      </c>
      <c r="M16" s="87"/>
      <c r="N16" s="87"/>
      <c r="O16" s="87"/>
      <c r="P16" s="87"/>
      <c r="Q16" s="87"/>
      <c r="R16" s="87"/>
      <c r="S16" s="87"/>
      <c r="T16" s="88"/>
      <c r="U16" s="88"/>
      <c r="V16" s="88"/>
      <c r="W16" s="88"/>
      <c r="X16" s="88"/>
      <c r="Y16" s="71"/>
    </row>
    <row r="17" spans="1:25" s="11" customFormat="1" ht="16.5" thickTop="1" thickBot="1" x14ac:dyDescent="0.3">
      <c r="A17" s="194"/>
      <c r="B17" s="119" t="s">
        <v>8</v>
      </c>
      <c r="C17" s="86"/>
      <c r="D17" s="87"/>
      <c r="E17" s="87"/>
      <c r="F17" s="87"/>
      <c r="G17" s="87"/>
      <c r="H17" s="87"/>
      <c r="I17" s="87"/>
      <c r="J17" s="90"/>
      <c r="K17" s="90"/>
      <c r="L17" s="90"/>
      <c r="M17" s="87"/>
      <c r="N17" s="87"/>
      <c r="O17" s="87"/>
      <c r="P17" s="87"/>
      <c r="Q17" s="87"/>
      <c r="R17" s="87"/>
      <c r="S17" s="87"/>
      <c r="T17" s="88"/>
      <c r="U17" s="88"/>
      <c r="V17" s="88"/>
      <c r="W17" s="88"/>
      <c r="X17" s="88"/>
      <c r="Y17" s="71"/>
    </row>
    <row r="18" spans="1:25" s="8" customFormat="1" ht="16.5" thickTop="1" thickBot="1" x14ac:dyDescent="0.3">
      <c r="A18" s="194"/>
      <c r="B18" s="120" t="s">
        <v>9</v>
      </c>
      <c r="C18" s="86"/>
      <c r="D18" s="91"/>
      <c r="E18" s="91"/>
      <c r="F18" s="91"/>
      <c r="G18" s="91"/>
      <c r="H18" s="91"/>
      <c r="I18" s="91"/>
      <c r="J18" s="172"/>
      <c r="K18" s="172"/>
      <c r="L18" s="172"/>
      <c r="M18" s="91"/>
      <c r="N18" s="91"/>
      <c r="O18" s="91"/>
      <c r="P18" s="91"/>
      <c r="Q18" s="91"/>
      <c r="R18" s="91"/>
      <c r="S18" s="91"/>
      <c r="T18" s="92"/>
      <c r="U18" s="92"/>
      <c r="V18" s="92"/>
      <c r="W18" s="92"/>
      <c r="X18" s="92"/>
      <c r="Y18" s="77"/>
    </row>
    <row r="19" spans="1:25" s="8" customFormat="1" ht="16.5" thickTop="1" thickBot="1" x14ac:dyDescent="0.3">
      <c r="A19" s="194"/>
      <c r="B19" s="121" t="s">
        <v>14</v>
      </c>
      <c r="C19" s="93"/>
      <c r="D19" s="94"/>
      <c r="E19" s="94"/>
      <c r="F19" s="94"/>
      <c r="G19" s="94"/>
      <c r="H19" s="94"/>
      <c r="I19" s="94"/>
      <c r="J19" s="173"/>
      <c r="K19" s="173"/>
      <c r="L19" s="173"/>
      <c r="M19" s="94"/>
      <c r="N19" s="94"/>
      <c r="O19" s="94"/>
      <c r="P19" s="94"/>
      <c r="Q19" s="94"/>
      <c r="R19" s="94"/>
      <c r="S19" s="94"/>
      <c r="T19" s="80"/>
      <c r="U19" s="80"/>
      <c r="V19" s="80"/>
      <c r="W19" s="80"/>
      <c r="X19" s="80"/>
      <c r="Y19" s="81"/>
    </row>
    <row r="20" spans="1:25" s="8" customFormat="1" ht="61.5" thickTop="1" thickBot="1" x14ac:dyDescent="0.3">
      <c r="A20" s="193" t="s">
        <v>4</v>
      </c>
      <c r="B20" s="115" t="s">
        <v>10</v>
      </c>
      <c r="C20" s="135" t="s">
        <v>121</v>
      </c>
      <c r="D20" s="135" t="s">
        <v>121</v>
      </c>
      <c r="E20" s="135" t="s">
        <v>121</v>
      </c>
      <c r="F20" s="135" t="s">
        <v>121</v>
      </c>
      <c r="G20" s="135" t="s">
        <v>121</v>
      </c>
      <c r="H20" s="95"/>
      <c r="I20" s="95"/>
      <c r="K20" s="135"/>
      <c r="L20" s="135"/>
      <c r="M20" s="95"/>
      <c r="N20" s="95"/>
      <c r="O20" s="95"/>
      <c r="P20" s="95"/>
      <c r="Q20" s="95"/>
      <c r="R20" s="95"/>
      <c r="S20" s="95"/>
      <c r="T20" s="84"/>
      <c r="U20" s="84"/>
      <c r="V20" s="84"/>
      <c r="W20" s="84"/>
      <c r="X20" s="84"/>
      <c r="Y20" s="85"/>
    </row>
    <row r="21" spans="1:25" s="8" customFormat="1" ht="61.5" thickTop="1" thickBot="1" x14ac:dyDescent="0.3">
      <c r="A21" s="193"/>
      <c r="B21" s="116" t="s">
        <v>11</v>
      </c>
      <c r="C21" s="72" t="s">
        <v>121</v>
      </c>
      <c r="D21" s="72" t="s">
        <v>121</v>
      </c>
      <c r="E21" s="72" t="s">
        <v>121</v>
      </c>
      <c r="F21" s="72" t="s">
        <v>121</v>
      </c>
      <c r="G21" s="72" t="s">
        <v>121</v>
      </c>
      <c r="H21" s="72" t="s">
        <v>121</v>
      </c>
      <c r="I21" s="72" t="s">
        <v>121</v>
      </c>
      <c r="J21" s="135" t="s">
        <v>331</v>
      </c>
      <c r="K21" s="135" t="s">
        <v>331</v>
      </c>
      <c r="L21" s="72"/>
      <c r="M21" s="96"/>
      <c r="N21" s="96"/>
      <c r="O21" s="96"/>
      <c r="P21" s="96"/>
      <c r="Q21" s="96"/>
      <c r="R21" s="96"/>
      <c r="S21" s="96"/>
      <c r="T21" s="88"/>
      <c r="U21" s="88"/>
      <c r="V21" s="88"/>
      <c r="W21" s="88"/>
      <c r="X21" s="88"/>
      <c r="Y21" s="71"/>
    </row>
    <row r="22" spans="1:25" s="8" customFormat="1" ht="106.5" thickTop="1" thickBot="1" x14ac:dyDescent="0.3">
      <c r="A22" s="193"/>
      <c r="B22" s="116" t="s">
        <v>12</v>
      </c>
      <c r="C22" s="72" t="s">
        <v>128</v>
      </c>
      <c r="D22" s="72" t="s">
        <v>128</v>
      </c>
      <c r="E22" s="72" t="s">
        <v>128</v>
      </c>
      <c r="F22" s="72" t="s">
        <v>224</v>
      </c>
      <c r="G22" s="72" t="s">
        <v>224</v>
      </c>
      <c r="H22" s="72" t="s">
        <v>224</v>
      </c>
      <c r="I22" s="72" t="s">
        <v>224</v>
      </c>
      <c r="J22" s="72" t="s">
        <v>332</v>
      </c>
      <c r="K22" s="72" t="s">
        <v>332</v>
      </c>
      <c r="L22" s="72"/>
      <c r="M22" s="96"/>
      <c r="N22" s="96"/>
      <c r="O22" s="96"/>
      <c r="P22" s="96"/>
      <c r="Q22" s="96"/>
      <c r="R22" s="96"/>
      <c r="S22" s="96"/>
      <c r="T22" s="88"/>
      <c r="U22" s="88"/>
      <c r="V22" s="88"/>
      <c r="W22" s="88"/>
      <c r="X22" s="88"/>
      <c r="Y22" s="71"/>
    </row>
    <row r="23" spans="1:25" s="8" customFormat="1" ht="106.5" thickTop="1" thickBot="1" x14ac:dyDescent="0.3">
      <c r="A23" s="193"/>
      <c r="B23" s="116" t="s">
        <v>7</v>
      </c>
      <c r="C23" s="142" t="s">
        <v>122</v>
      </c>
      <c r="D23" s="142" t="s">
        <v>122</v>
      </c>
      <c r="E23" s="142" t="s">
        <v>122</v>
      </c>
      <c r="F23" s="142" t="s">
        <v>239</v>
      </c>
      <c r="G23" s="142" t="s">
        <v>239</v>
      </c>
      <c r="H23" s="96"/>
      <c r="I23" s="96"/>
      <c r="J23" s="72"/>
      <c r="K23" s="72"/>
      <c r="L23" s="72"/>
      <c r="M23" s="96"/>
      <c r="N23" s="96"/>
      <c r="O23" s="96"/>
      <c r="P23" s="96"/>
      <c r="Q23" s="96"/>
      <c r="R23" s="96"/>
      <c r="S23" s="96"/>
      <c r="T23" s="88"/>
      <c r="U23" s="88"/>
      <c r="V23" s="88"/>
      <c r="W23" s="88"/>
      <c r="X23" s="88"/>
      <c r="Y23" s="71"/>
    </row>
    <row r="24" spans="1:25" s="8" customFormat="1" ht="46.5" thickTop="1" thickBot="1" x14ac:dyDescent="0.3">
      <c r="A24" s="193"/>
      <c r="B24" s="116" t="s">
        <v>8</v>
      </c>
      <c r="C24" s="143" t="s">
        <v>129</v>
      </c>
      <c r="D24" s="143" t="s">
        <v>129</v>
      </c>
      <c r="E24" s="143" t="s">
        <v>129</v>
      </c>
      <c r="F24" s="143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3"/>
      <c r="U24" s="73"/>
      <c r="V24" s="73"/>
      <c r="W24" s="73"/>
      <c r="X24" s="73"/>
      <c r="Y24" s="71"/>
    </row>
    <row r="25" spans="1:25" s="11" customFormat="1" ht="16.5" thickTop="1" thickBot="1" x14ac:dyDescent="0.3">
      <c r="A25" s="193"/>
      <c r="B25" s="116" t="s">
        <v>9</v>
      </c>
      <c r="C25" s="68"/>
      <c r="D25" s="68"/>
      <c r="E25" s="96"/>
      <c r="F25" s="96"/>
      <c r="G25" s="96"/>
      <c r="H25" s="96"/>
      <c r="I25" s="96"/>
      <c r="J25" s="72"/>
      <c r="K25" s="72"/>
      <c r="L25" s="72"/>
      <c r="M25" s="96"/>
      <c r="N25" s="96"/>
      <c r="O25" s="96"/>
      <c r="P25" s="96"/>
      <c r="Q25" s="96"/>
      <c r="R25" s="96"/>
      <c r="S25" s="96"/>
      <c r="T25" s="88"/>
      <c r="U25" s="88"/>
      <c r="V25" s="88"/>
      <c r="W25" s="88"/>
      <c r="X25" s="88"/>
      <c r="Y25" s="71"/>
    </row>
    <row r="26" spans="1:25" s="11" customFormat="1" ht="16.5" thickTop="1" thickBot="1" x14ac:dyDescent="0.3">
      <c r="A26" s="193"/>
      <c r="B26" s="118" t="s">
        <v>14</v>
      </c>
      <c r="C26" s="78"/>
      <c r="D26" s="78"/>
      <c r="E26" s="79"/>
      <c r="F26" s="79"/>
      <c r="G26" s="79"/>
      <c r="H26" s="79"/>
      <c r="I26" s="79"/>
      <c r="J26" s="171"/>
      <c r="K26" s="171"/>
      <c r="L26" s="171"/>
      <c r="M26" s="79"/>
      <c r="N26" s="79"/>
      <c r="O26" s="79"/>
      <c r="P26" s="79"/>
      <c r="Q26" s="79"/>
      <c r="R26" s="79"/>
      <c r="S26" s="79"/>
      <c r="T26" s="80"/>
      <c r="U26" s="80"/>
      <c r="V26" s="80"/>
      <c r="W26" s="80"/>
      <c r="X26" s="80"/>
      <c r="Y26" s="81"/>
    </row>
    <row r="27" spans="1:25" s="11" customFormat="1" ht="16.5" thickTop="1" thickBot="1" x14ac:dyDescent="0.3">
      <c r="A27" s="194" t="s">
        <v>5</v>
      </c>
      <c r="B27" s="97" t="s">
        <v>10</v>
      </c>
      <c r="C27" s="97"/>
      <c r="D27" s="97"/>
      <c r="E27" s="98"/>
      <c r="F27" s="98"/>
      <c r="G27" s="98"/>
      <c r="H27" s="98"/>
      <c r="I27" s="98"/>
      <c r="J27" s="153"/>
      <c r="K27" s="153"/>
      <c r="L27" s="153"/>
      <c r="M27" s="98"/>
      <c r="N27" s="98"/>
      <c r="O27" s="98"/>
      <c r="P27" s="98"/>
      <c r="Q27" s="98"/>
      <c r="R27" s="98"/>
      <c r="S27" s="98"/>
      <c r="T27" s="67"/>
      <c r="U27" s="67"/>
      <c r="V27" s="67"/>
      <c r="W27" s="67"/>
      <c r="X27" s="67"/>
      <c r="Y27" s="85"/>
    </row>
    <row r="28" spans="1:25" s="11" customFormat="1" ht="16.5" thickTop="1" thickBot="1" x14ac:dyDescent="0.3">
      <c r="A28" s="194"/>
      <c r="B28" s="119" t="s">
        <v>11</v>
      </c>
      <c r="C28" s="86"/>
      <c r="D28" s="86"/>
      <c r="E28" s="87"/>
      <c r="F28" s="87"/>
      <c r="G28" s="87"/>
      <c r="H28" s="87"/>
      <c r="I28" s="87"/>
      <c r="J28" s="90"/>
      <c r="K28" s="90"/>
      <c r="L28" s="90"/>
      <c r="M28" s="87"/>
      <c r="N28" s="87"/>
      <c r="O28" s="87"/>
      <c r="P28" s="87"/>
      <c r="Q28" s="87"/>
      <c r="R28" s="87"/>
      <c r="S28" s="87"/>
      <c r="T28" s="88"/>
      <c r="U28" s="88"/>
      <c r="V28" s="88"/>
      <c r="W28" s="88"/>
      <c r="X28" s="88"/>
      <c r="Y28" s="71"/>
    </row>
    <row r="29" spans="1:25" s="11" customFormat="1" ht="31.5" thickTop="1" thickBot="1" x14ac:dyDescent="0.3">
      <c r="A29" s="194"/>
      <c r="B29" s="119" t="s">
        <v>12</v>
      </c>
      <c r="C29" s="86"/>
      <c r="D29" s="86"/>
      <c r="E29" s="87"/>
      <c r="F29" s="87"/>
      <c r="G29" s="87"/>
      <c r="H29" s="87" t="s">
        <v>282</v>
      </c>
      <c r="I29" s="87" t="s">
        <v>282</v>
      </c>
      <c r="J29" s="90" t="s">
        <v>334</v>
      </c>
      <c r="K29" s="90" t="s">
        <v>334</v>
      </c>
      <c r="L29" s="90" t="s">
        <v>334</v>
      </c>
      <c r="M29" s="87"/>
      <c r="N29" s="87"/>
      <c r="O29" s="87"/>
      <c r="P29" s="87"/>
      <c r="Q29" s="87"/>
      <c r="R29" s="87"/>
      <c r="S29" s="87"/>
      <c r="T29" s="88"/>
      <c r="U29" s="88"/>
      <c r="V29" s="88"/>
      <c r="W29" s="88"/>
      <c r="X29" s="88"/>
      <c r="Y29" s="71"/>
    </row>
    <row r="30" spans="1:25" s="11" customFormat="1" ht="16.5" thickTop="1" thickBot="1" x14ac:dyDescent="0.3">
      <c r="A30" s="194"/>
      <c r="B30" s="119" t="s">
        <v>7</v>
      </c>
      <c r="C30" s="99"/>
      <c r="D30" s="99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90"/>
      <c r="S30" s="90"/>
      <c r="T30" s="73"/>
      <c r="U30" s="73"/>
      <c r="V30" s="73"/>
      <c r="W30" s="73"/>
      <c r="X30" s="73"/>
      <c r="Y30" s="71"/>
    </row>
    <row r="31" spans="1:25" s="11" customFormat="1" ht="16.5" thickTop="1" thickBot="1" x14ac:dyDescent="0.3">
      <c r="A31" s="194"/>
      <c r="B31" s="119" t="s">
        <v>8</v>
      </c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90"/>
      <c r="S31" s="90"/>
      <c r="T31" s="73"/>
      <c r="U31" s="73"/>
      <c r="V31" s="73"/>
      <c r="W31" s="73"/>
      <c r="X31" s="73"/>
      <c r="Y31" s="100"/>
    </row>
    <row r="32" spans="1:25" s="8" customFormat="1" ht="16.5" thickTop="1" thickBot="1" x14ac:dyDescent="0.3">
      <c r="A32" s="194"/>
      <c r="B32" s="120" t="s">
        <v>9</v>
      </c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73"/>
      <c r="U32" s="73"/>
      <c r="V32" s="73"/>
      <c r="W32" s="73"/>
      <c r="X32" s="73"/>
      <c r="Y32" s="101"/>
    </row>
    <row r="33" spans="1:25" s="8" customFormat="1" ht="16.5" thickTop="1" thickBot="1" x14ac:dyDescent="0.3">
      <c r="A33" s="194"/>
      <c r="B33" s="121" t="s">
        <v>14</v>
      </c>
      <c r="C33" s="90"/>
      <c r="D33" s="90"/>
      <c r="E33" s="87"/>
      <c r="F33" s="87"/>
      <c r="G33" s="87"/>
      <c r="H33" s="87"/>
      <c r="I33" s="87"/>
      <c r="J33" s="90"/>
      <c r="K33" s="90"/>
      <c r="L33" s="90"/>
      <c r="M33" s="87"/>
      <c r="N33" s="87"/>
      <c r="O33" s="87"/>
      <c r="P33" s="87"/>
      <c r="Q33" s="87"/>
      <c r="R33" s="87"/>
      <c r="S33" s="87"/>
      <c r="T33" s="88"/>
      <c r="U33" s="88"/>
      <c r="V33" s="88"/>
      <c r="W33" s="88"/>
      <c r="X33" s="88"/>
      <c r="Y33" s="81"/>
    </row>
    <row r="34" spans="1:25" s="8" customFormat="1" ht="16.5" thickTop="1" thickBot="1" x14ac:dyDescent="0.3">
      <c r="A34" s="188" t="s">
        <v>6</v>
      </c>
      <c r="B34" s="115" t="s">
        <v>10</v>
      </c>
      <c r="C34" s="95"/>
      <c r="D34" s="95"/>
      <c r="E34" s="95"/>
      <c r="F34" s="95"/>
      <c r="G34" s="95"/>
      <c r="H34" s="95"/>
      <c r="I34" s="95"/>
      <c r="J34" s="135"/>
      <c r="K34" s="135"/>
      <c r="L34" s="135"/>
      <c r="M34" s="95"/>
      <c r="N34" s="95"/>
      <c r="O34" s="95"/>
      <c r="P34" s="95"/>
      <c r="Q34" s="95"/>
      <c r="R34" s="95"/>
      <c r="S34" s="95"/>
      <c r="T34" s="84"/>
      <c r="U34" s="84"/>
      <c r="V34" s="84"/>
      <c r="W34" s="84"/>
      <c r="X34" s="84"/>
      <c r="Y34" s="85"/>
    </row>
    <row r="35" spans="1:25" s="8" customFormat="1" ht="16.5" thickTop="1" thickBot="1" x14ac:dyDescent="0.3">
      <c r="A35" s="188"/>
      <c r="B35" s="116" t="s">
        <v>11</v>
      </c>
      <c r="C35" s="96"/>
      <c r="D35" s="96"/>
      <c r="E35" s="96"/>
      <c r="F35" s="96"/>
      <c r="G35" s="96"/>
      <c r="H35" s="96"/>
      <c r="I35" s="96"/>
      <c r="J35" s="72"/>
      <c r="K35" s="72"/>
      <c r="L35" s="72"/>
      <c r="M35" s="96"/>
      <c r="N35" s="96"/>
      <c r="O35" s="96"/>
      <c r="P35" s="96"/>
      <c r="Q35" s="96"/>
      <c r="R35" s="96"/>
      <c r="S35" s="96"/>
      <c r="T35" s="88"/>
      <c r="U35" s="88"/>
      <c r="V35" s="88"/>
      <c r="W35" s="88"/>
      <c r="X35" s="88"/>
      <c r="Y35" s="71"/>
    </row>
    <row r="36" spans="1:25" s="8" customFormat="1" ht="91.5" thickTop="1" thickBot="1" x14ac:dyDescent="0.3">
      <c r="A36" s="188"/>
      <c r="B36" s="116" t="s">
        <v>12</v>
      </c>
      <c r="C36" s="143" t="s">
        <v>174</v>
      </c>
      <c r="D36" s="143" t="s">
        <v>174</v>
      </c>
      <c r="E36" s="143" t="s">
        <v>215</v>
      </c>
      <c r="F36" s="143" t="s">
        <v>215</v>
      </c>
      <c r="G36" s="143" t="s">
        <v>215</v>
      </c>
      <c r="H36" s="143" t="s">
        <v>215</v>
      </c>
      <c r="I36" s="143" t="s">
        <v>215</v>
      </c>
      <c r="J36" s="143"/>
      <c r="K36" s="170"/>
      <c r="L36" s="170"/>
      <c r="M36" s="69"/>
      <c r="N36" s="69"/>
      <c r="O36" s="69"/>
      <c r="P36" s="69"/>
      <c r="Q36" s="69"/>
      <c r="R36" s="69"/>
      <c r="S36" s="69"/>
      <c r="T36" s="70"/>
      <c r="U36" s="70"/>
      <c r="V36" s="70"/>
      <c r="W36" s="70"/>
      <c r="X36" s="70"/>
      <c r="Y36" s="71"/>
    </row>
    <row r="37" spans="1:25" ht="46.5" thickTop="1" thickBot="1" x14ac:dyDescent="0.3">
      <c r="A37" s="188"/>
      <c r="B37" s="116" t="s">
        <v>7</v>
      </c>
      <c r="C37" s="72" t="s">
        <v>120</v>
      </c>
      <c r="D37" s="72" t="s">
        <v>120</v>
      </c>
      <c r="E37" s="72" t="s">
        <v>120</v>
      </c>
      <c r="F37" s="72" t="s">
        <v>120</v>
      </c>
      <c r="G37" s="72" t="s">
        <v>120</v>
      </c>
      <c r="H37" s="72" t="s">
        <v>120</v>
      </c>
      <c r="I37" s="72" t="s">
        <v>120</v>
      </c>
      <c r="J37" s="72" t="s">
        <v>333</v>
      </c>
      <c r="K37" s="72"/>
      <c r="L37" s="72"/>
      <c r="M37" s="72"/>
      <c r="N37" s="72"/>
      <c r="O37" s="72"/>
      <c r="P37" s="72"/>
      <c r="Q37" s="72"/>
      <c r="R37" s="72"/>
      <c r="S37" s="72"/>
      <c r="T37" s="73"/>
      <c r="U37" s="73"/>
      <c r="V37" s="73"/>
      <c r="W37" s="73"/>
      <c r="X37" s="73"/>
      <c r="Y37" s="100"/>
    </row>
    <row r="38" spans="1:25" ht="46.5" thickTop="1" thickBot="1" x14ac:dyDescent="0.3">
      <c r="A38" s="188"/>
      <c r="B38" s="116" t="s">
        <v>8</v>
      </c>
      <c r="C38" s="143" t="s">
        <v>129</v>
      </c>
      <c r="D38" s="143" t="s">
        <v>129</v>
      </c>
      <c r="E38" s="143" t="s">
        <v>129</v>
      </c>
      <c r="F38" s="143" t="s">
        <v>129</v>
      </c>
      <c r="G38" s="143" t="s">
        <v>129</v>
      </c>
      <c r="H38" s="143" t="s">
        <v>129</v>
      </c>
      <c r="I38" s="143" t="s">
        <v>129</v>
      </c>
      <c r="J38" s="143"/>
      <c r="K38" s="72"/>
      <c r="L38" s="72"/>
      <c r="M38" s="72"/>
      <c r="N38" s="72"/>
      <c r="O38" s="72"/>
      <c r="P38" s="72"/>
      <c r="Q38" s="72"/>
      <c r="R38" s="72"/>
      <c r="S38" s="72"/>
      <c r="T38" s="73"/>
      <c r="U38" s="73"/>
      <c r="V38" s="73"/>
      <c r="W38" s="73"/>
      <c r="X38" s="73"/>
      <c r="Y38" s="71"/>
    </row>
    <row r="39" spans="1:25" ht="16.5" thickTop="1" thickBot="1" x14ac:dyDescent="0.3">
      <c r="A39" s="188"/>
      <c r="B39" s="117" t="s">
        <v>9</v>
      </c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6"/>
      <c r="U39" s="76"/>
      <c r="V39" s="76"/>
      <c r="W39" s="76"/>
      <c r="X39" s="76"/>
      <c r="Y39" s="77"/>
    </row>
    <row r="40" spans="1:25" ht="17.25" thickTop="1" thickBot="1" x14ac:dyDescent="0.3">
      <c r="A40" s="188"/>
      <c r="B40" s="118" t="s">
        <v>14</v>
      </c>
      <c r="C40" s="102"/>
      <c r="D40" s="103"/>
      <c r="E40" s="103"/>
      <c r="F40" s="103"/>
      <c r="G40" s="103"/>
      <c r="H40" s="103"/>
      <c r="I40" s="103"/>
      <c r="J40" s="174"/>
      <c r="K40" s="174"/>
      <c r="L40" s="174"/>
      <c r="M40" s="103"/>
      <c r="N40" s="103"/>
      <c r="O40" s="103"/>
      <c r="P40" s="103"/>
      <c r="Q40" s="103"/>
      <c r="R40" s="103"/>
      <c r="S40" s="103"/>
      <c r="T40" s="104"/>
      <c r="U40" s="104"/>
      <c r="V40" s="104"/>
      <c r="W40" s="104"/>
      <c r="X40" s="104"/>
      <c r="Y40" s="105"/>
    </row>
    <row r="41" spans="1:25" ht="16.5" thickTop="1" thickBot="1" x14ac:dyDescent="0.3">
      <c r="A41" s="188" t="s">
        <v>24</v>
      </c>
      <c r="B41" s="106" t="s">
        <v>10</v>
      </c>
      <c r="C41" s="106"/>
      <c r="D41" s="106"/>
      <c r="E41" s="95"/>
      <c r="F41" s="95"/>
      <c r="G41" s="95"/>
      <c r="H41" s="95"/>
      <c r="I41" s="95"/>
      <c r="J41" s="135"/>
      <c r="K41" s="135"/>
      <c r="L41" s="135"/>
      <c r="M41" s="95"/>
      <c r="N41" s="95"/>
      <c r="O41" s="95"/>
      <c r="P41" s="95"/>
      <c r="Q41" s="95"/>
      <c r="R41" s="95"/>
      <c r="S41" s="95"/>
      <c r="T41" s="84"/>
      <c r="U41" s="84"/>
      <c r="V41" s="84"/>
      <c r="W41" s="84"/>
      <c r="X41" s="84"/>
      <c r="Y41" s="84"/>
    </row>
    <row r="42" spans="1:25" ht="16.5" thickTop="1" thickBot="1" x14ac:dyDescent="0.3">
      <c r="A42" s="188"/>
      <c r="B42" s="107" t="s">
        <v>11</v>
      </c>
      <c r="C42" s="107"/>
      <c r="D42" s="107"/>
      <c r="E42" s="96"/>
      <c r="F42" s="96"/>
      <c r="G42" s="96"/>
      <c r="H42" s="96"/>
      <c r="I42" s="96"/>
      <c r="J42" s="72"/>
      <c r="K42" s="72"/>
      <c r="L42" s="72"/>
      <c r="M42" s="96"/>
      <c r="N42" s="96"/>
      <c r="O42" s="96"/>
      <c r="P42" s="96"/>
      <c r="Q42" s="96"/>
      <c r="R42" s="96"/>
      <c r="S42" s="96"/>
      <c r="T42" s="88"/>
      <c r="U42" s="88"/>
      <c r="V42" s="88"/>
      <c r="W42" s="88"/>
      <c r="X42" s="88"/>
      <c r="Y42" s="88"/>
    </row>
    <row r="43" spans="1:25" ht="16.5" thickTop="1" thickBot="1" x14ac:dyDescent="0.3">
      <c r="A43" s="188"/>
      <c r="B43" s="108" t="s">
        <v>12</v>
      </c>
      <c r="C43" s="108"/>
      <c r="D43" s="108"/>
      <c r="E43" s="69"/>
      <c r="F43" s="69"/>
      <c r="G43" s="69"/>
      <c r="H43" s="69"/>
      <c r="I43" s="69"/>
      <c r="J43" s="170"/>
      <c r="K43" s="170"/>
      <c r="L43" s="170"/>
      <c r="M43" s="69"/>
      <c r="N43" s="69"/>
      <c r="O43" s="69"/>
      <c r="P43" s="69"/>
      <c r="Q43" s="69"/>
      <c r="R43" s="69"/>
      <c r="S43" s="69"/>
      <c r="T43" s="70"/>
      <c r="U43" s="70"/>
      <c r="V43" s="70"/>
      <c r="W43" s="70"/>
      <c r="X43" s="70"/>
      <c r="Y43" s="70"/>
    </row>
    <row r="44" spans="1:25" ht="16.5" thickTop="1" thickBot="1" x14ac:dyDescent="0.3">
      <c r="A44" s="188"/>
      <c r="B44" s="109" t="s">
        <v>7</v>
      </c>
      <c r="C44" s="109"/>
      <c r="D44" s="109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3"/>
      <c r="U44" s="73"/>
      <c r="V44" s="73"/>
      <c r="W44" s="73"/>
      <c r="X44" s="73"/>
      <c r="Y44" s="73"/>
    </row>
    <row r="45" spans="1:25" ht="16.5" thickTop="1" thickBot="1" x14ac:dyDescent="0.3">
      <c r="A45" s="188"/>
      <c r="B45" s="109" t="s">
        <v>8</v>
      </c>
      <c r="C45" s="109"/>
      <c r="D45" s="109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3"/>
      <c r="U45" s="73"/>
      <c r="V45" s="73"/>
      <c r="W45" s="73"/>
      <c r="X45" s="73"/>
      <c r="Y45" s="73"/>
    </row>
    <row r="46" spans="1:25" ht="16.5" thickTop="1" thickBot="1" x14ac:dyDescent="0.3">
      <c r="A46" s="188"/>
      <c r="B46" s="110" t="s">
        <v>9</v>
      </c>
      <c r="C46" s="110"/>
      <c r="D46" s="110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5"/>
      <c r="S46" s="75"/>
      <c r="T46" s="76"/>
      <c r="U46" s="76"/>
      <c r="V46" s="76"/>
      <c r="W46" s="76"/>
      <c r="X46" s="76"/>
      <c r="Y46" s="76"/>
    </row>
    <row r="47" spans="1:25" ht="16.5" thickTop="1" thickBot="1" x14ac:dyDescent="0.3">
      <c r="A47" s="188"/>
      <c r="B47" s="118" t="s">
        <v>14</v>
      </c>
      <c r="C47" s="111"/>
      <c r="D47" s="111"/>
      <c r="E47" s="103"/>
      <c r="F47" s="103"/>
      <c r="G47" s="103"/>
      <c r="H47" s="103"/>
      <c r="I47" s="103"/>
      <c r="J47" s="174"/>
      <c r="K47" s="174"/>
      <c r="L47" s="174"/>
      <c r="M47" s="103"/>
      <c r="N47" s="103"/>
      <c r="O47" s="103"/>
      <c r="P47" s="103"/>
      <c r="Q47" s="103"/>
      <c r="R47" s="103"/>
      <c r="S47" s="103"/>
      <c r="T47" s="104"/>
      <c r="U47" s="104"/>
      <c r="V47" s="104"/>
      <c r="W47" s="104"/>
      <c r="X47" s="104"/>
      <c r="Y47" s="104"/>
    </row>
    <row r="48" spans="1:25" ht="15.75" thickTop="1" x14ac:dyDescent="0.25"/>
    <row r="49" spans="1:5" x14ac:dyDescent="0.25">
      <c r="A49" t="s">
        <v>42</v>
      </c>
      <c r="B49" s="122" t="s">
        <v>43</v>
      </c>
    </row>
    <row r="50" spans="1:5" x14ac:dyDescent="0.25">
      <c r="A50" s="149" t="s">
        <v>165</v>
      </c>
      <c r="B50" s="175" t="s">
        <v>104</v>
      </c>
      <c r="C50" s="148" t="s">
        <v>126</v>
      </c>
      <c r="E50" s="125"/>
    </row>
    <row r="51" spans="1:5" x14ac:dyDescent="0.25">
      <c r="A51" s="125" t="s">
        <v>166</v>
      </c>
      <c r="B51" s="150" t="s">
        <v>116</v>
      </c>
      <c r="C51" s="148" t="s">
        <v>126</v>
      </c>
      <c r="E51" s="125"/>
    </row>
    <row r="52" spans="1:5" x14ac:dyDescent="0.25">
      <c r="A52" s="125" t="s">
        <v>191</v>
      </c>
      <c r="B52" s="150" t="s">
        <v>117</v>
      </c>
      <c r="C52" s="148" t="s">
        <v>126</v>
      </c>
      <c r="E52" s="125"/>
    </row>
    <row r="53" spans="1:5" x14ac:dyDescent="0.25">
      <c r="A53" s="125" t="s">
        <v>166</v>
      </c>
      <c r="B53" s="150" t="s">
        <v>118</v>
      </c>
      <c r="C53" s="148" t="s">
        <v>126</v>
      </c>
      <c r="E53" s="125"/>
    </row>
    <row r="54" spans="1:5" x14ac:dyDescent="0.25">
      <c r="A54" s="125" t="s">
        <v>191</v>
      </c>
      <c r="B54" s="150" t="s">
        <v>119</v>
      </c>
      <c r="C54" s="148" t="s">
        <v>126</v>
      </c>
      <c r="E54" s="125"/>
    </row>
    <row r="55" spans="1:5" x14ac:dyDescent="0.25">
      <c r="A55" s="125" t="s">
        <v>176</v>
      </c>
      <c r="B55" s="150" t="s">
        <v>102</v>
      </c>
      <c r="C55" s="148" t="s">
        <v>127</v>
      </c>
      <c r="E55" s="125"/>
    </row>
    <row r="56" spans="1:5" x14ac:dyDescent="0.25">
      <c r="A56" s="149" t="s">
        <v>164</v>
      </c>
      <c r="B56" s="175" t="s">
        <v>101</v>
      </c>
      <c r="C56" s="148" t="s">
        <v>127</v>
      </c>
      <c r="E56" s="125"/>
    </row>
    <row r="57" spans="1:5" x14ac:dyDescent="0.25">
      <c r="A57" s="149" t="s">
        <v>164</v>
      </c>
      <c r="B57" s="175" t="s">
        <v>103</v>
      </c>
      <c r="C57" s="149" t="s">
        <v>16</v>
      </c>
      <c r="E57" s="125"/>
    </row>
    <row r="58" spans="1:5" x14ac:dyDescent="0.25">
      <c r="A58" s="125" t="s">
        <v>191</v>
      </c>
      <c r="B58" s="150" t="s">
        <v>201</v>
      </c>
      <c r="C58" s="149" t="s">
        <v>16</v>
      </c>
      <c r="E58" s="125"/>
    </row>
    <row r="59" spans="1:5" x14ac:dyDescent="0.25">
      <c r="A59" s="125" t="s">
        <v>191</v>
      </c>
      <c r="B59" s="150" t="s">
        <v>202</v>
      </c>
      <c r="C59" s="149" t="s">
        <v>16</v>
      </c>
      <c r="E59" s="125"/>
    </row>
    <row r="60" spans="1:5" x14ac:dyDescent="0.25">
      <c r="A60" s="125" t="s">
        <v>166</v>
      </c>
      <c r="B60" s="176" t="s">
        <v>255</v>
      </c>
      <c r="E60" s="125"/>
    </row>
    <row r="61" spans="1:5" x14ac:dyDescent="0.25">
      <c r="A61" s="126"/>
      <c r="B61" s="140"/>
      <c r="C61" s="148" t="s">
        <v>288</v>
      </c>
      <c r="D61" t="s">
        <v>289</v>
      </c>
      <c r="E61" s="125"/>
    </row>
    <row r="62" spans="1:5" x14ac:dyDescent="0.25">
      <c r="C62" s="148" t="s">
        <v>253</v>
      </c>
      <c r="E62" s="125"/>
    </row>
    <row r="63" spans="1:5" x14ac:dyDescent="0.25">
      <c r="A63" s="128"/>
      <c r="B63" s="129"/>
      <c r="E63" s="125"/>
    </row>
    <row r="64" spans="1:5" x14ac:dyDescent="0.25">
      <c r="A64" s="128"/>
      <c r="B64" s="129"/>
      <c r="E64" s="125"/>
    </row>
    <row r="65" spans="1:5" x14ac:dyDescent="0.25">
      <c r="A65" s="128"/>
      <c r="B65" s="129"/>
      <c r="E65" s="125"/>
    </row>
    <row r="66" spans="1:5" x14ac:dyDescent="0.25">
      <c r="A66" s="128"/>
      <c r="B66" s="129"/>
      <c r="E66" s="125"/>
    </row>
    <row r="67" spans="1:5" x14ac:dyDescent="0.25">
      <c r="A67" s="128"/>
      <c r="B67" s="129"/>
      <c r="E67" s="125"/>
    </row>
    <row r="68" spans="1:5" x14ac:dyDescent="0.25">
      <c r="A68" s="128"/>
      <c r="B68" s="129"/>
    </row>
    <row r="69" spans="1:5" x14ac:dyDescent="0.25">
      <c r="A69" s="128"/>
      <c r="B69" s="129"/>
    </row>
    <row r="70" spans="1:5" x14ac:dyDescent="0.25">
      <c r="A70" s="130"/>
      <c r="B70" s="131"/>
    </row>
  </sheetData>
  <mergeCells count="8">
    <mergeCell ref="A27:A33"/>
    <mergeCell ref="A34:A40"/>
    <mergeCell ref="A41:A47"/>
    <mergeCell ref="A1:I3"/>
    <mergeCell ref="A4:B4"/>
    <mergeCell ref="A6:A12"/>
    <mergeCell ref="A13:A19"/>
    <mergeCell ref="A20:A26"/>
  </mergeCells>
  <conditionalFormatting sqref="D6:Y6 H20:I20 K20:X20 J10:L11 J21:K21">
    <cfRule type="containsText" dxfId="213" priority="23" operator="containsText" text=" Анікєєв">
      <formula>NOT(ISERROR(SEARCH(" Анікєєв",D6)))</formula>
    </cfRule>
  </conditionalFormatting>
  <conditionalFormatting sqref="D7 H7:X7">
    <cfRule type="containsText" dxfId="212" priority="22" operator="containsText" text=" Анікєєв">
      <formula>NOT(ISERROR(SEARCH(" Анікєєв",D7)))</formula>
    </cfRule>
  </conditionalFormatting>
  <conditionalFormatting sqref="D8 M8:X8">
    <cfRule type="containsText" dxfId="211" priority="21" operator="containsText" text=" Анікєєв">
      <formula>NOT(ISERROR(SEARCH(" Анікєєв",D8)))</formula>
    </cfRule>
  </conditionalFormatting>
  <conditionalFormatting sqref="D9:G9 M9:X9">
    <cfRule type="containsText" dxfId="210" priority="20" operator="containsText" text=" Анікєєв">
      <formula>NOT(ISERROR(SEARCH(" Анікєєв",D9)))</formula>
    </cfRule>
  </conditionalFormatting>
  <conditionalFormatting sqref="D10:G11 M10:X11">
    <cfRule type="containsText" dxfId="209" priority="19" operator="containsText" text=" Анікєєв">
      <formula>NOT(ISERROR(SEARCH(" Анікєєв",D10)))</formula>
    </cfRule>
  </conditionalFormatting>
  <conditionalFormatting sqref="D12:X12">
    <cfRule type="containsText" dxfId="208" priority="18" operator="containsText" text=" Анікєєв">
      <formula>NOT(ISERROR(SEARCH(" Анікєєв",D12)))</formula>
    </cfRule>
  </conditionalFormatting>
  <conditionalFormatting sqref="D13:X14 E15:X15 D16:X19">
    <cfRule type="containsText" dxfId="207" priority="17" operator="containsText" text=" Анікєєв">
      <formula>NOT(ISERROR(SEARCH(" Анікєєв",D13)))</formula>
    </cfRule>
  </conditionalFormatting>
  <conditionalFormatting sqref="E25:X25 G24:X24 H23:X23 L21:X22">
    <cfRule type="containsText" dxfId="206" priority="16" operator="containsText" text=" Анікєєв">
      <formula>NOT(ISERROR(SEARCH(" Анікєєв",E21)))</formula>
    </cfRule>
  </conditionalFormatting>
  <conditionalFormatting sqref="E27:X28 E30:X32 E29:I29 M29:X29">
    <cfRule type="containsText" dxfId="205" priority="15" operator="containsText" text=" Анікєєв">
      <formula>NOT(ISERROR(SEARCH(" Анікєєв",E27)))</formula>
    </cfRule>
  </conditionalFormatting>
  <conditionalFormatting sqref="E34:X34">
    <cfRule type="containsText" dxfId="204" priority="14" operator="containsText" text=" Анікєєв">
      <formula>NOT(ISERROR(SEARCH(" Анікєєв",E34)))</formula>
    </cfRule>
  </conditionalFormatting>
  <conditionalFormatting sqref="E33:X33">
    <cfRule type="containsText" dxfId="203" priority="13" operator="containsText" text=" Анікєєв">
      <formula>NOT(ISERROR(SEARCH(" Анікєєв",E33)))</formula>
    </cfRule>
  </conditionalFormatting>
  <conditionalFormatting sqref="C34:C40 D34:D38 E36:J38">
    <cfRule type="containsText" dxfId="202" priority="12" operator="containsText" text=" Анікєєв">
      <formula>NOT(ISERROR(SEARCH(" Анікєєв",C34)))</formula>
    </cfRule>
  </conditionalFormatting>
  <conditionalFormatting sqref="B41:Y41">
    <cfRule type="containsText" dxfId="201" priority="11" operator="containsText" text=" Анікєєв">
      <formula>NOT(ISERROR(SEARCH(" Анікєєв",B41)))</formula>
    </cfRule>
  </conditionalFormatting>
  <conditionalFormatting sqref="C20:G21 H21:K21">
    <cfRule type="containsText" dxfId="200" priority="10" operator="containsText" text=" Анікєєв">
      <formula>NOT(ISERROR(SEARCH(" Анікєєв",C20)))</formula>
    </cfRule>
  </conditionalFormatting>
  <conditionalFormatting sqref="C22:K22">
    <cfRule type="containsText" dxfId="199" priority="9" operator="containsText" text=" Анікєєв">
      <formula>NOT(ISERROR(SEARCH(" Анікєєв",C22)))</formula>
    </cfRule>
  </conditionalFormatting>
  <conditionalFormatting sqref="H8:L8 J9:L11">
    <cfRule type="containsText" dxfId="198" priority="8" operator="containsText" text=" Анікєєв">
      <formula>NOT(ISERROR(SEARCH(" Анікєєв",H8)))</formula>
    </cfRule>
  </conditionalFormatting>
  <conditionalFormatting sqref="H9:I9">
    <cfRule type="containsText" dxfId="197" priority="7" operator="containsText" text=" Анікєєв">
      <formula>NOT(ISERROR(SEARCH(" Анікєєв",H9)))</formula>
    </cfRule>
  </conditionalFormatting>
  <conditionalFormatting sqref="H10:I11">
    <cfRule type="containsText" dxfId="196" priority="6" operator="containsText" text=" Анікєєв">
      <formula>NOT(ISERROR(SEARCH(" Анікєєв",H10)))</formula>
    </cfRule>
  </conditionalFormatting>
  <conditionalFormatting sqref="J29:L29">
    <cfRule type="containsText" dxfId="195" priority="1" operator="containsText" text=" Анікєєв">
      <formula>NOT(ISERROR(SEARCH(" Анікєєв",J29)))</formula>
    </cfRule>
  </conditionalFormatting>
  <pageMargins left="0.70866141732283472" right="0.70866141732283472" top="0.74803149606299213" bottom="0.74803149606299213" header="0.31496062992125984" footer="0.31496062992125984"/>
  <pageSetup paperSize="9" scale="55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2"/>
  <dimension ref="A1:Y70"/>
  <sheetViews>
    <sheetView zoomScale="101" zoomScaleNormal="101" workbookViewId="0">
      <pane xSplit="7" ySplit="5" topLeftCell="H6" activePane="bottomRight" state="frozenSplit"/>
      <selection pane="topRight" activeCell="I1" sqref="I1"/>
      <selection pane="bottomLeft" activeCell="A29" sqref="A29"/>
      <selection pane="bottomRight" activeCell="J43" sqref="J43"/>
    </sheetView>
  </sheetViews>
  <sheetFormatPr defaultRowHeight="15" x14ac:dyDescent="0.25"/>
  <cols>
    <col min="1" max="1" width="23.7109375" customWidth="1"/>
    <col min="2" max="2" width="11.85546875" customWidth="1"/>
    <col min="3" max="3" width="26.42578125" hidden="1" customWidth="1"/>
    <col min="4" max="7" width="24.28515625" hidden="1" customWidth="1"/>
    <col min="8" max="8" width="24.28515625" customWidth="1"/>
    <col min="9" max="9" width="26.7109375" bestFit="1" customWidth="1"/>
    <col min="10" max="12" width="28.7109375" bestFit="1" customWidth="1"/>
    <col min="13" max="14" width="25" bestFit="1" customWidth="1"/>
    <col min="15" max="18" width="24.28515625" bestFit="1" customWidth="1"/>
    <col min="19" max="21" width="25" bestFit="1" customWidth="1"/>
    <col min="22" max="22" width="25" customWidth="1"/>
    <col min="23" max="23" width="25" bestFit="1" customWidth="1"/>
    <col min="24" max="24" width="25" customWidth="1"/>
    <col min="25" max="25" width="25" bestFit="1" customWidth="1"/>
  </cols>
  <sheetData>
    <row r="1" spans="1:25" ht="15" customHeight="1" x14ac:dyDescent="0.25">
      <c r="A1" s="195" t="s">
        <v>21</v>
      </c>
      <c r="B1" s="195"/>
      <c r="C1" s="195"/>
      <c r="D1" s="195"/>
      <c r="E1" s="195"/>
      <c r="F1" s="195"/>
      <c r="G1" s="195"/>
      <c r="H1" s="195"/>
      <c r="I1" s="195"/>
      <c r="J1" s="9"/>
      <c r="K1" s="9"/>
      <c r="L1" s="9"/>
      <c r="M1" s="9"/>
      <c r="N1" s="9"/>
      <c r="O1" s="9"/>
      <c r="P1" s="9"/>
      <c r="Q1" s="9"/>
      <c r="R1" s="9"/>
    </row>
    <row r="2" spans="1:25" x14ac:dyDescent="0.25">
      <c r="A2" s="195"/>
      <c r="B2" s="195"/>
      <c r="C2" s="195"/>
      <c r="D2" s="195"/>
      <c r="E2" s="195"/>
      <c r="F2" s="195"/>
      <c r="G2" s="195"/>
      <c r="H2" s="195"/>
      <c r="I2" s="195"/>
      <c r="J2" s="9"/>
      <c r="K2" s="9"/>
      <c r="L2" s="9"/>
      <c r="M2" s="9"/>
      <c r="N2" s="9"/>
      <c r="O2" s="9"/>
      <c r="P2" s="9"/>
      <c r="Q2" s="9"/>
      <c r="R2" s="9"/>
    </row>
    <row r="3" spans="1:25" ht="15.75" thickBot="1" x14ac:dyDescent="0.3">
      <c r="A3" s="196"/>
      <c r="B3" s="196"/>
      <c r="C3" s="196"/>
      <c r="D3" s="196"/>
      <c r="E3" s="196"/>
      <c r="F3" s="196"/>
      <c r="G3" s="196"/>
      <c r="H3" s="196"/>
      <c r="I3" s="196"/>
      <c r="J3" s="9"/>
      <c r="K3" s="9"/>
      <c r="L3" s="9"/>
      <c r="M3" s="9"/>
      <c r="N3" s="9"/>
      <c r="O3" s="9"/>
      <c r="P3" s="9"/>
      <c r="Q3" s="9"/>
      <c r="R3" s="9"/>
    </row>
    <row r="4" spans="1:25" s="113" customFormat="1" ht="22.5" thickTop="1" thickBot="1" x14ac:dyDescent="0.35">
      <c r="A4" s="191" t="s">
        <v>13</v>
      </c>
      <c r="B4" s="192"/>
      <c r="C4" s="1">
        <v>1</v>
      </c>
      <c r="D4" s="1">
        <v>2</v>
      </c>
      <c r="E4" s="1">
        <v>3</v>
      </c>
      <c r="F4" s="1">
        <v>4</v>
      </c>
      <c r="G4" s="1">
        <v>5</v>
      </c>
      <c r="H4" s="1">
        <v>6</v>
      </c>
      <c r="I4" s="1">
        <v>7</v>
      </c>
      <c r="J4" s="1">
        <v>8</v>
      </c>
      <c r="K4" s="1">
        <v>9</v>
      </c>
      <c r="L4" s="1">
        <v>10</v>
      </c>
      <c r="M4" s="1">
        <v>11</v>
      </c>
      <c r="N4" s="1">
        <v>12</v>
      </c>
      <c r="O4" s="1">
        <v>13</v>
      </c>
      <c r="P4" s="1">
        <v>14</v>
      </c>
      <c r="Q4" s="1">
        <v>15</v>
      </c>
      <c r="R4" s="1">
        <v>16</v>
      </c>
      <c r="S4" s="1">
        <v>17</v>
      </c>
      <c r="T4" s="112">
        <v>18</v>
      </c>
      <c r="U4" s="112">
        <v>19</v>
      </c>
      <c r="V4" s="112">
        <v>20</v>
      </c>
      <c r="W4" s="112">
        <v>21</v>
      </c>
      <c r="X4" s="112">
        <v>22</v>
      </c>
      <c r="Y4" s="112">
        <v>23</v>
      </c>
    </row>
    <row r="5" spans="1:25" ht="21.75" thickTop="1" thickBot="1" x14ac:dyDescent="0.35">
      <c r="A5" s="2" t="s">
        <v>0</v>
      </c>
      <c r="B5" s="3" t="s">
        <v>1</v>
      </c>
      <c r="C5" s="4" t="s">
        <v>49</v>
      </c>
      <c r="D5" s="4" t="s">
        <v>50</v>
      </c>
      <c r="E5" s="4" t="s">
        <v>51</v>
      </c>
      <c r="F5" s="4" t="s">
        <v>52</v>
      </c>
      <c r="G5" s="4" t="s">
        <v>48</v>
      </c>
      <c r="H5" s="4" t="s">
        <v>47</v>
      </c>
      <c r="I5" s="4" t="s">
        <v>46</v>
      </c>
      <c r="J5" s="4" t="s">
        <v>45</v>
      </c>
      <c r="K5" s="4" t="s">
        <v>53</v>
      </c>
      <c r="L5" s="4" t="s">
        <v>54</v>
      </c>
      <c r="M5" s="4" t="s">
        <v>61</v>
      </c>
      <c r="N5" s="4" t="s">
        <v>60</v>
      </c>
      <c r="O5" s="4" t="s">
        <v>59</v>
      </c>
      <c r="P5" s="4" t="s">
        <v>58</v>
      </c>
      <c r="Q5" s="4" t="s">
        <v>57</v>
      </c>
      <c r="R5" s="4" t="s">
        <v>56</v>
      </c>
      <c r="S5" s="4" t="s">
        <v>55</v>
      </c>
      <c r="T5" s="114"/>
      <c r="U5" s="114"/>
      <c r="V5" s="114"/>
      <c r="W5" s="114"/>
      <c r="X5" s="114"/>
      <c r="Y5" s="114"/>
    </row>
    <row r="6" spans="1:25" s="8" customFormat="1" ht="16.149999999999999" customHeight="1" thickTop="1" thickBot="1" x14ac:dyDescent="0.3">
      <c r="A6" s="193" t="s">
        <v>2</v>
      </c>
      <c r="B6" s="115" t="s">
        <v>10</v>
      </c>
      <c r="C6" s="65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7"/>
      <c r="U6" s="67"/>
      <c r="V6" s="67"/>
      <c r="W6" s="67"/>
      <c r="X6" s="67"/>
      <c r="Y6" s="67"/>
    </row>
    <row r="7" spans="1:25" s="8" customFormat="1" ht="16.149999999999999" customHeight="1" thickTop="1" thickBot="1" x14ac:dyDescent="0.3">
      <c r="A7" s="193"/>
      <c r="B7" s="116" t="s">
        <v>11</v>
      </c>
      <c r="C7" s="68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69"/>
      <c r="S7" s="69"/>
      <c r="T7" s="70"/>
      <c r="U7" s="70"/>
      <c r="V7" s="70"/>
      <c r="W7" s="70"/>
      <c r="X7" s="70"/>
      <c r="Y7" s="71"/>
    </row>
    <row r="8" spans="1:25" s="8" customFormat="1" ht="16.149999999999999" customHeight="1" thickTop="1" thickBot="1" x14ac:dyDescent="0.3">
      <c r="A8" s="193"/>
      <c r="B8" s="116" t="s">
        <v>12</v>
      </c>
      <c r="C8" s="68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3"/>
      <c r="U8" s="73"/>
      <c r="V8" s="73"/>
      <c r="W8" s="73"/>
      <c r="X8" s="73"/>
      <c r="Y8" s="71"/>
    </row>
    <row r="9" spans="1:25" s="8" customFormat="1" ht="16.149999999999999" customHeight="1" thickTop="1" thickBot="1" x14ac:dyDescent="0.3">
      <c r="A9" s="193"/>
      <c r="B9" s="116" t="s">
        <v>7</v>
      </c>
      <c r="C9" s="68"/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3"/>
      <c r="U9" s="73"/>
      <c r="V9" s="73"/>
      <c r="W9" s="73"/>
      <c r="X9" s="73"/>
      <c r="Y9" s="71"/>
    </row>
    <row r="10" spans="1:25" s="8" customFormat="1" ht="16.149999999999999" customHeight="1" thickTop="1" thickBot="1" x14ac:dyDescent="0.3">
      <c r="A10" s="193"/>
      <c r="B10" s="116" t="s">
        <v>8</v>
      </c>
      <c r="C10" s="68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3"/>
      <c r="U10" s="73"/>
      <c r="V10" s="73"/>
      <c r="W10" s="73"/>
      <c r="X10" s="73"/>
      <c r="Y10" s="71"/>
    </row>
    <row r="11" spans="1:25" s="8" customFormat="1" ht="16.149999999999999" customHeight="1" thickTop="1" thickBot="1" x14ac:dyDescent="0.3">
      <c r="A11" s="193"/>
      <c r="B11" s="117" t="s">
        <v>9</v>
      </c>
      <c r="C11" s="74"/>
      <c r="D11" s="75"/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6"/>
      <c r="U11" s="76"/>
      <c r="V11" s="76"/>
      <c r="W11" s="76"/>
      <c r="X11" s="76"/>
      <c r="Y11" s="77"/>
    </row>
    <row r="12" spans="1:25" s="11" customFormat="1" ht="16.149999999999999" customHeight="1" thickTop="1" thickBot="1" x14ac:dyDescent="0.3">
      <c r="A12" s="193"/>
      <c r="B12" s="118" t="s">
        <v>14</v>
      </c>
      <c r="C12" s="78"/>
      <c r="D12" s="79"/>
      <c r="E12" s="79"/>
      <c r="F12" s="79"/>
      <c r="G12" s="79"/>
      <c r="H12" s="79"/>
      <c r="I12" s="79"/>
      <c r="J12" s="178"/>
      <c r="K12" s="178"/>
      <c r="L12" s="178"/>
      <c r="M12" s="79"/>
      <c r="N12" s="79"/>
      <c r="O12" s="79"/>
      <c r="P12" s="79"/>
      <c r="Q12" s="79"/>
      <c r="R12" s="79"/>
      <c r="S12" s="79"/>
      <c r="T12" s="80"/>
      <c r="U12" s="80"/>
      <c r="V12" s="80"/>
      <c r="W12" s="80"/>
      <c r="X12" s="80"/>
      <c r="Y12" s="81"/>
    </row>
    <row r="13" spans="1:25" s="11" customFormat="1" ht="16.149999999999999" customHeight="1" thickTop="1" thickBot="1" x14ac:dyDescent="0.3">
      <c r="A13" s="194" t="s">
        <v>3</v>
      </c>
      <c r="B13" s="97" t="s">
        <v>10</v>
      </c>
      <c r="C13" s="82"/>
      <c r="D13" s="83"/>
      <c r="E13" s="83"/>
      <c r="F13" s="83"/>
      <c r="G13" s="83"/>
      <c r="H13" s="83"/>
      <c r="I13" s="83"/>
      <c r="J13" s="83"/>
      <c r="K13" s="83"/>
      <c r="L13" s="83"/>
      <c r="M13" s="181"/>
      <c r="N13" s="83"/>
      <c r="O13" s="83"/>
      <c r="P13" s="83"/>
      <c r="Q13" s="83"/>
      <c r="R13" s="83"/>
      <c r="S13" s="83"/>
      <c r="T13" s="84"/>
      <c r="U13" s="84"/>
      <c r="V13" s="84"/>
      <c r="W13" s="84"/>
      <c r="X13" s="84"/>
      <c r="Y13" s="85"/>
    </row>
    <row r="14" spans="1:25" s="11" customFormat="1" ht="16.5" thickTop="1" thickBot="1" x14ac:dyDescent="0.3">
      <c r="A14" s="194"/>
      <c r="B14" s="119" t="s">
        <v>11</v>
      </c>
      <c r="C14" s="86"/>
      <c r="D14" s="87"/>
      <c r="E14" s="87"/>
      <c r="F14" s="87"/>
      <c r="G14" s="87"/>
      <c r="H14" s="87" t="s">
        <v>285</v>
      </c>
      <c r="I14" s="87" t="s">
        <v>285</v>
      </c>
      <c r="J14" s="87"/>
      <c r="K14" s="87"/>
      <c r="L14" s="87"/>
      <c r="M14" s="177"/>
      <c r="N14" s="87"/>
      <c r="O14" s="87"/>
      <c r="P14" s="87"/>
      <c r="Q14" s="87"/>
      <c r="R14" s="87"/>
      <c r="S14" s="87"/>
      <c r="T14" s="88"/>
      <c r="U14" s="88"/>
      <c r="V14" s="88"/>
      <c r="W14" s="88"/>
      <c r="X14" s="88"/>
      <c r="Y14" s="71"/>
    </row>
    <row r="15" spans="1:25" s="11" customFormat="1" ht="16.5" thickTop="1" thickBot="1" x14ac:dyDescent="0.3">
      <c r="A15" s="194"/>
      <c r="B15" s="119" t="s">
        <v>12</v>
      </c>
      <c r="C15" s="89"/>
      <c r="D15" s="90"/>
      <c r="E15" s="90"/>
      <c r="F15" s="90"/>
      <c r="G15" s="90"/>
      <c r="H15" s="87" t="s">
        <v>78</v>
      </c>
      <c r="I15" s="87" t="s">
        <v>78</v>
      </c>
      <c r="J15" s="87"/>
      <c r="K15" s="87"/>
      <c r="L15" s="87"/>
      <c r="M15" s="182"/>
      <c r="N15" s="90"/>
      <c r="O15" s="90"/>
      <c r="P15" s="90"/>
      <c r="Q15" s="90"/>
      <c r="R15" s="90"/>
      <c r="S15" s="90"/>
      <c r="T15" s="73"/>
      <c r="U15" s="73"/>
      <c r="V15" s="73"/>
      <c r="W15" s="73"/>
      <c r="X15" s="73"/>
      <c r="Y15" s="71"/>
    </row>
    <row r="16" spans="1:25" s="11" customFormat="1" ht="16.149999999999999" customHeight="1" thickTop="1" thickBot="1" x14ac:dyDescent="0.3">
      <c r="A16" s="194"/>
      <c r="B16" s="119" t="s">
        <v>7</v>
      </c>
      <c r="C16" s="86"/>
      <c r="D16" s="87"/>
      <c r="E16" s="87"/>
      <c r="F16" s="87"/>
      <c r="G16" s="87"/>
      <c r="H16" s="87"/>
      <c r="I16" s="87"/>
      <c r="J16" s="87"/>
      <c r="K16" s="87"/>
      <c r="L16" s="87"/>
      <c r="M16" s="177"/>
      <c r="N16" s="87"/>
      <c r="O16" s="87"/>
      <c r="P16" s="87"/>
      <c r="Q16" s="87"/>
      <c r="R16" s="87"/>
      <c r="S16" s="87"/>
      <c r="T16" s="88"/>
      <c r="U16" s="88"/>
      <c r="V16" s="88"/>
      <c r="W16" s="88"/>
      <c r="X16" s="88"/>
      <c r="Y16" s="71"/>
    </row>
    <row r="17" spans="1:25" s="11" customFormat="1" ht="16.149999999999999" customHeight="1" thickTop="1" thickBot="1" x14ac:dyDescent="0.3">
      <c r="A17" s="194"/>
      <c r="B17" s="119" t="s">
        <v>8</v>
      </c>
      <c r="C17" s="86"/>
      <c r="D17" s="87"/>
      <c r="E17" s="87"/>
      <c r="F17" s="87"/>
      <c r="G17" s="87"/>
      <c r="H17" s="87"/>
      <c r="I17" s="87"/>
      <c r="J17" s="87"/>
      <c r="K17" s="87"/>
      <c r="L17" s="87"/>
      <c r="M17" s="177"/>
      <c r="N17" s="87"/>
      <c r="O17" s="87"/>
      <c r="P17" s="87"/>
      <c r="Q17" s="87"/>
      <c r="R17" s="87"/>
      <c r="S17" s="87"/>
      <c r="T17" s="88"/>
      <c r="U17" s="88"/>
      <c r="V17" s="88"/>
      <c r="W17" s="88"/>
      <c r="X17" s="88"/>
      <c r="Y17" s="71"/>
    </row>
    <row r="18" spans="1:25" s="8" customFormat="1" ht="16.149999999999999" customHeight="1" thickTop="1" thickBot="1" x14ac:dyDescent="0.3">
      <c r="A18" s="194"/>
      <c r="B18" s="120" t="s">
        <v>9</v>
      </c>
      <c r="C18" s="86"/>
      <c r="D18" s="91"/>
      <c r="E18" s="91"/>
      <c r="F18" s="91"/>
      <c r="G18" s="91"/>
      <c r="H18" s="91"/>
      <c r="I18" s="91"/>
      <c r="J18" s="91"/>
      <c r="K18" s="91"/>
      <c r="L18" s="91"/>
      <c r="M18" s="179"/>
      <c r="N18" s="91"/>
      <c r="O18" s="91"/>
      <c r="P18" s="91"/>
      <c r="Q18" s="91"/>
      <c r="R18" s="91"/>
      <c r="S18" s="91"/>
      <c r="T18" s="92"/>
      <c r="U18" s="92"/>
      <c r="V18" s="92"/>
      <c r="W18" s="92"/>
      <c r="X18" s="92"/>
      <c r="Y18" s="77"/>
    </row>
    <row r="19" spans="1:25" s="8" customFormat="1" ht="16.149999999999999" customHeight="1" thickTop="1" thickBot="1" x14ac:dyDescent="0.3">
      <c r="A19" s="194"/>
      <c r="B19" s="121" t="s">
        <v>14</v>
      </c>
      <c r="C19" s="93"/>
      <c r="D19" s="94"/>
      <c r="E19" s="94"/>
      <c r="F19" s="94"/>
      <c r="G19" s="94"/>
      <c r="H19" s="94"/>
      <c r="I19" s="94"/>
      <c r="J19" s="94"/>
      <c r="K19" s="94"/>
      <c r="L19" s="94"/>
      <c r="M19" s="180"/>
      <c r="N19" s="94"/>
      <c r="O19" s="94"/>
      <c r="P19" s="94"/>
      <c r="Q19" s="94"/>
      <c r="R19" s="94"/>
      <c r="S19" s="94"/>
      <c r="T19" s="80"/>
      <c r="U19" s="80"/>
      <c r="V19" s="80"/>
      <c r="W19" s="80"/>
      <c r="X19" s="80"/>
      <c r="Y19" s="81"/>
    </row>
    <row r="20" spans="1:25" s="8" customFormat="1" ht="16.149999999999999" customHeight="1" thickTop="1" thickBot="1" x14ac:dyDescent="0.3">
      <c r="A20" s="193" t="s">
        <v>4</v>
      </c>
      <c r="B20" s="115" t="s">
        <v>10</v>
      </c>
      <c r="C20" s="65"/>
      <c r="D20" s="95"/>
      <c r="E20" s="95"/>
      <c r="F20" s="95"/>
      <c r="G20" s="95"/>
      <c r="H20" s="95"/>
      <c r="I20" s="95"/>
      <c r="J20" s="183" t="s">
        <v>371</v>
      </c>
      <c r="K20" s="183" t="s">
        <v>371</v>
      </c>
      <c r="L20" s="183" t="s">
        <v>371</v>
      </c>
      <c r="M20" s="95"/>
      <c r="N20" s="95"/>
      <c r="O20" s="95"/>
      <c r="P20" s="95"/>
      <c r="Q20" s="95"/>
      <c r="R20" s="95"/>
      <c r="S20" s="95"/>
      <c r="T20" s="84"/>
      <c r="U20" s="84"/>
      <c r="V20" s="84"/>
      <c r="W20" s="84"/>
      <c r="X20" s="84"/>
      <c r="Y20" s="85"/>
    </row>
    <row r="21" spans="1:25" s="8" customFormat="1" ht="16.149999999999999" customHeight="1" thickTop="1" thickBot="1" x14ac:dyDescent="0.3">
      <c r="A21" s="193"/>
      <c r="B21" s="116" t="s">
        <v>11</v>
      </c>
      <c r="C21" s="68"/>
      <c r="D21" s="96"/>
      <c r="E21" s="96"/>
      <c r="F21" s="96"/>
      <c r="G21" s="96"/>
      <c r="H21" s="96"/>
      <c r="I21" s="96"/>
      <c r="J21" s="96" t="s">
        <v>372</v>
      </c>
      <c r="K21" s="96" t="s">
        <v>372</v>
      </c>
      <c r="L21" s="96" t="s">
        <v>372</v>
      </c>
      <c r="M21" s="96"/>
      <c r="N21" s="96"/>
      <c r="O21" s="96"/>
      <c r="P21" s="96"/>
      <c r="Q21" s="96"/>
      <c r="R21" s="96"/>
      <c r="S21" s="96"/>
      <c r="T21" s="88"/>
      <c r="U21" s="88"/>
      <c r="V21" s="88"/>
      <c r="W21" s="88"/>
      <c r="X21" s="88"/>
      <c r="Y21" s="71"/>
    </row>
    <row r="22" spans="1:25" s="8" customFormat="1" ht="16.149999999999999" customHeight="1" thickTop="1" thickBot="1" x14ac:dyDescent="0.3">
      <c r="A22" s="193"/>
      <c r="B22" s="116" t="s">
        <v>12</v>
      </c>
      <c r="C22" s="68"/>
      <c r="D22" s="96"/>
      <c r="E22" s="96"/>
      <c r="F22" s="96"/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88"/>
      <c r="U22" s="88"/>
      <c r="V22" s="88"/>
      <c r="W22" s="88"/>
      <c r="X22" s="88"/>
      <c r="Y22" s="71"/>
    </row>
    <row r="23" spans="1:25" s="8" customFormat="1" ht="16.149999999999999" customHeight="1" thickTop="1" thickBot="1" x14ac:dyDescent="0.3">
      <c r="A23" s="193"/>
      <c r="B23" s="116" t="s">
        <v>7</v>
      </c>
      <c r="C23" s="68"/>
      <c r="D23" s="96"/>
      <c r="E23" s="96"/>
      <c r="F23" s="96"/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88"/>
      <c r="U23" s="88"/>
      <c r="V23" s="88"/>
      <c r="W23" s="88"/>
      <c r="X23" s="88"/>
      <c r="Y23" s="71"/>
    </row>
    <row r="24" spans="1:25" s="8" customFormat="1" ht="16.149999999999999" customHeight="1" thickTop="1" thickBot="1" x14ac:dyDescent="0.3">
      <c r="A24" s="193"/>
      <c r="B24" s="116" t="s">
        <v>8</v>
      </c>
      <c r="C24" s="68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3"/>
      <c r="U24" s="73"/>
      <c r="V24" s="73"/>
      <c r="W24" s="73"/>
      <c r="X24" s="73"/>
      <c r="Y24" s="71"/>
    </row>
    <row r="25" spans="1:25" s="11" customFormat="1" ht="16.149999999999999" customHeight="1" thickTop="1" thickBot="1" x14ac:dyDescent="0.3">
      <c r="A25" s="193"/>
      <c r="B25" s="116" t="s">
        <v>9</v>
      </c>
      <c r="C25" s="68"/>
      <c r="D25" s="96"/>
      <c r="E25" s="96"/>
      <c r="F25" s="96"/>
      <c r="G25" s="96"/>
      <c r="H25" s="96"/>
      <c r="I25" s="96"/>
      <c r="J25" s="96"/>
      <c r="K25" s="96"/>
      <c r="L25" s="96"/>
      <c r="M25" s="96"/>
      <c r="N25" s="96"/>
      <c r="O25" s="96"/>
      <c r="P25" s="96"/>
      <c r="Q25" s="96"/>
      <c r="R25" s="96"/>
      <c r="S25" s="96"/>
      <c r="T25" s="88"/>
      <c r="U25" s="88"/>
      <c r="V25" s="88"/>
      <c r="W25" s="88"/>
      <c r="X25" s="88"/>
      <c r="Y25" s="71"/>
    </row>
    <row r="26" spans="1:25" s="11" customFormat="1" ht="16.149999999999999" customHeight="1" thickTop="1" thickBot="1" x14ac:dyDescent="0.3">
      <c r="A26" s="193"/>
      <c r="B26" s="118" t="s">
        <v>14</v>
      </c>
      <c r="C26" s="78"/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80"/>
      <c r="U26" s="80"/>
      <c r="V26" s="80"/>
      <c r="W26" s="80"/>
      <c r="X26" s="80"/>
      <c r="Y26" s="81"/>
    </row>
    <row r="27" spans="1:25" s="11" customFormat="1" ht="16.149999999999999" customHeight="1" thickTop="1" thickBot="1" x14ac:dyDescent="0.3">
      <c r="A27" s="194" t="s">
        <v>5</v>
      </c>
      <c r="B27" s="97" t="s">
        <v>10</v>
      </c>
      <c r="C27" s="97"/>
      <c r="D27" s="98"/>
      <c r="E27" s="98"/>
      <c r="F27" s="98"/>
      <c r="G27" s="98"/>
      <c r="H27" s="98"/>
      <c r="I27" s="98"/>
      <c r="J27" s="87"/>
      <c r="K27" s="87"/>
      <c r="L27" s="87"/>
      <c r="M27" s="98"/>
      <c r="N27" s="98"/>
      <c r="O27" s="98"/>
      <c r="P27" s="98"/>
      <c r="Q27" s="98"/>
      <c r="R27" s="98"/>
      <c r="S27" s="98"/>
      <c r="T27" s="67"/>
      <c r="U27" s="67"/>
      <c r="V27" s="67"/>
      <c r="W27" s="67"/>
      <c r="X27" s="67"/>
      <c r="Y27" s="85"/>
    </row>
    <row r="28" spans="1:25" s="11" customFormat="1" ht="16.149999999999999" customHeight="1" thickTop="1" thickBot="1" x14ac:dyDescent="0.3">
      <c r="A28" s="194"/>
      <c r="B28" s="119" t="s">
        <v>11</v>
      </c>
      <c r="C28" s="86"/>
      <c r="D28" s="87"/>
      <c r="E28" s="87"/>
      <c r="F28" s="87"/>
      <c r="G28" s="87"/>
      <c r="H28" s="87" t="s">
        <v>285</v>
      </c>
      <c r="I28" s="87" t="s">
        <v>285</v>
      </c>
      <c r="J28" s="87"/>
      <c r="K28" s="87"/>
      <c r="L28" s="87"/>
      <c r="M28" s="87"/>
      <c r="N28" s="87"/>
      <c r="O28" s="87"/>
      <c r="P28" s="87"/>
      <c r="Q28" s="87"/>
      <c r="R28" s="87"/>
      <c r="S28" s="87"/>
      <c r="T28" s="88"/>
      <c r="U28" s="88"/>
      <c r="V28" s="88"/>
      <c r="W28" s="88"/>
      <c r="X28" s="88"/>
      <c r="Y28" s="71"/>
    </row>
    <row r="29" spans="1:25" s="11" customFormat="1" ht="16.149999999999999" customHeight="1" thickTop="1" thickBot="1" x14ac:dyDescent="0.3">
      <c r="A29" s="194"/>
      <c r="B29" s="119" t="s">
        <v>12</v>
      </c>
      <c r="C29" s="86"/>
      <c r="D29" s="87"/>
      <c r="E29" s="87"/>
      <c r="F29" s="87"/>
      <c r="G29" s="87"/>
      <c r="H29" s="87" t="s">
        <v>78</v>
      </c>
      <c r="I29" s="87" t="s">
        <v>78</v>
      </c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8"/>
      <c r="U29" s="88"/>
      <c r="V29" s="88"/>
      <c r="W29" s="88"/>
      <c r="X29" s="88"/>
      <c r="Y29" s="71"/>
    </row>
    <row r="30" spans="1:25" s="11" customFormat="1" ht="16.149999999999999" customHeight="1" thickTop="1" thickBot="1" x14ac:dyDescent="0.3">
      <c r="A30" s="194"/>
      <c r="B30" s="119" t="s">
        <v>7</v>
      </c>
      <c r="C30" s="99"/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90"/>
      <c r="S30" s="90"/>
      <c r="T30" s="73"/>
      <c r="U30" s="73"/>
      <c r="V30" s="73"/>
      <c r="W30" s="73"/>
      <c r="X30" s="73"/>
      <c r="Y30" s="71"/>
    </row>
    <row r="31" spans="1:25" s="11" customFormat="1" ht="16.149999999999999" customHeight="1" thickTop="1" thickBot="1" x14ac:dyDescent="0.3">
      <c r="A31" s="194"/>
      <c r="B31" s="119" t="s">
        <v>8</v>
      </c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90"/>
      <c r="S31" s="90"/>
      <c r="T31" s="73"/>
      <c r="U31" s="73"/>
      <c r="V31" s="73"/>
      <c r="W31" s="73"/>
      <c r="X31" s="73"/>
      <c r="Y31" s="100"/>
    </row>
    <row r="32" spans="1:25" s="8" customFormat="1" ht="16.149999999999999" customHeight="1" thickTop="1" thickBot="1" x14ac:dyDescent="0.3">
      <c r="A32" s="194"/>
      <c r="B32" s="120" t="s">
        <v>9</v>
      </c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73"/>
      <c r="U32" s="73"/>
      <c r="V32" s="73"/>
      <c r="W32" s="73"/>
      <c r="X32" s="73"/>
      <c r="Y32" s="101"/>
    </row>
    <row r="33" spans="1:25" s="8" customFormat="1" ht="16.5" thickTop="1" thickBot="1" x14ac:dyDescent="0.3">
      <c r="A33" s="194"/>
      <c r="B33" s="121" t="s">
        <v>14</v>
      </c>
      <c r="C33" s="90"/>
      <c r="D33" s="87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88"/>
      <c r="U33" s="88"/>
      <c r="V33" s="88"/>
      <c r="W33" s="88"/>
      <c r="X33" s="88"/>
      <c r="Y33" s="81"/>
    </row>
    <row r="34" spans="1:25" s="8" customFormat="1" ht="16.149999999999999" customHeight="1" thickTop="1" thickBot="1" x14ac:dyDescent="0.3">
      <c r="A34" s="188" t="s">
        <v>6</v>
      </c>
      <c r="B34" s="115" t="s">
        <v>10</v>
      </c>
      <c r="C34" s="95"/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84"/>
      <c r="U34" s="84"/>
      <c r="V34" s="84"/>
      <c r="W34" s="84"/>
      <c r="X34" s="84"/>
      <c r="Y34" s="85"/>
    </row>
    <row r="35" spans="1:25" s="8" customFormat="1" ht="16.149999999999999" customHeight="1" thickTop="1" thickBot="1" x14ac:dyDescent="0.3">
      <c r="A35" s="188"/>
      <c r="B35" s="116" t="s">
        <v>11</v>
      </c>
      <c r="C35" s="96"/>
      <c r="D35" s="96"/>
      <c r="E35" s="96"/>
      <c r="F35" s="96"/>
      <c r="G35" s="96"/>
      <c r="H35" s="96"/>
      <c r="I35" s="96"/>
      <c r="J35" s="96"/>
      <c r="K35" s="96"/>
      <c r="L35" s="96"/>
      <c r="M35" s="96"/>
      <c r="N35" s="96"/>
      <c r="O35" s="96"/>
      <c r="P35" s="96"/>
      <c r="Q35" s="96"/>
      <c r="R35" s="96"/>
      <c r="S35" s="96"/>
      <c r="T35" s="88"/>
      <c r="U35" s="88"/>
      <c r="V35" s="88"/>
      <c r="W35" s="88"/>
      <c r="X35" s="88"/>
      <c r="Y35" s="71"/>
    </row>
    <row r="36" spans="1:25" s="8" customFormat="1" ht="16.149999999999999" customHeight="1" thickTop="1" thickBot="1" x14ac:dyDescent="0.3">
      <c r="A36" s="188"/>
      <c r="B36" s="116" t="s">
        <v>12</v>
      </c>
      <c r="C36" s="69"/>
      <c r="D36" s="69"/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69"/>
      <c r="S36" s="69"/>
      <c r="T36" s="70"/>
      <c r="U36" s="70"/>
      <c r="V36" s="70"/>
      <c r="W36" s="70"/>
      <c r="X36" s="70"/>
      <c r="Y36" s="71"/>
    </row>
    <row r="37" spans="1:25" ht="16.149999999999999" customHeight="1" thickTop="1" thickBot="1" x14ac:dyDescent="0.3">
      <c r="A37" s="188"/>
      <c r="B37" s="116" t="s">
        <v>7</v>
      </c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3"/>
      <c r="U37" s="73"/>
      <c r="V37" s="73"/>
      <c r="W37" s="73"/>
      <c r="X37" s="73"/>
      <c r="Y37" s="100"/>
    </row>
    <row r="38" spans="1:25" ht="16.149999999999999" customHeight="1" thickTop="1" thickBot="1" x14ac:dyDescent="0.3">
      <c r="A38" s="188"/>
      <c r="B38" s="116" t="s">
        <v>8</v>
      </c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3"/>
      <c r="U38" s="73"/>
      <c r="V38" s="73"/>
      <c r="W38" s="73"/>
      <c r="X38" s="73"/>
      <c r="Y38" s="71"/>
    </row>
    <row r="39" spans="1:25" ht="16.149999999999999" customHeight="1" thickTop="1" thickBot="1" x14ac:dyDescent="0.3">
      <c r="A39" s="188"/>
      <c r="B39" s="117" t="s">
        <v>9</v>
      </c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6"/>
      <c r="U39" s="76"/>
      <c r="V39" s="76"/>
      <c r="W39" s="76"/>
      <c r="X39" s="76"/>
      <c r="Y39" s="77"/>
    </row>
    <row r="40" spans="1:25" ht="16.149999999999999" customHeight="1" thickTop="1" thickBot="1" x14ac:dyDescent="0.3">
      <c r="A40" s="188"/>
      <c r="B40" s="118" t="s">
        <v>14</v>
      </c>
      <c r="C40" s="102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3"/>
      <c r="S40" s="103"/>
      <c r="T40" s="104"/>
      <c r="U40" s="104"/>
      <c r="V40" s="104"/>
      <c r="W40" s="104"/>
      <c r="X40" s="104"/>
      <c r="Y40" s="105"/>
    </row>
    <row r="41" spans="1:25" ht="16.149999999999999" customHeight="1" thickTop="1" thickBot="1" x14ac:dyDescent="0.3">
      <c r="A41" s="188" t="s">
        <v>24</v>
      </c>
      <c r="B41" s="106" t="s">
        <v>10</v>
      </c>
      <c r="C41" s="106"/>
      <c r="D41" s="106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84"/>
      <c r="U41" s="84"/>
      <c r="V41" s="84"/>
      <c r="W41" s="84"/>
      <c r="X41" s="84"/>
      <c r="Y41" s="84"/>
    </row>
    <row r="42" spans="1:25" ht="16.149999999999999" customHeight="1" thickTop="1" thickBot="1" x14ac:dyDescent="0.3">
      <c r="A42" s="188"/>
      <c r="B42" s="107" t="s">
        <v>11</v>
      </c>
      <c r="C42" s="107"/>
      <c r="D42" s="107"/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88"/>
      <c r="U42" s="88"/>
      <c r="V42" s="88"/>
      <c r="W42" s="88"/>
      <c r="X42" s="88"/>
      <c r="Y42" s="88"/>
    </row>
    <row r="43" spans="1:25" ht="16.149999999999999" customHeight="1" thickTop="1" thickBot="1" x14ac:dyDescent="0.3">
      <c r="A43" s="188"/>
      <c r="B43" s="108" t="s">
        <v>12</v>
      </c>
      <c r="C43" s="108"/>
      <c r="D43" s="108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69"/>
      <c r="Q43" s="69"/>
      <c r="R43" s="69"/>
      <c r="S43" s="69"/>
      <c r="T43" s="70"/>
      <c r="U43" s="70"/>
      <c r="V43" s="70"/>
      <c r="W43" s="70"/>
      <c r="X43" s="70"/>
      <c r="Y43" s="70"/>
    </row>
    <row r="44" spans="1:25" ht="16.5" thickTop="1" thickBot="1" x14ac:dyDescent="0.3">
      <c r="A44" s="188"/>
      <c r="B44" s="109" t="s">
        <v>7</v>
      </c>
      <c r="C44" s="109"/>
      <c r="D44" s="109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3"/>
      <c r="U44" s="73"/>
      <c r="V44" s="73"/>
      <c r="W44" s="73"/>
      <c r="X44" s="73"/>
      <c r="Y44" s="73"/>
    </row>
    <row r="45" spans="1:25" ht="16.5" thickTop="1" thickBot="1" x14ac:dyDescent="0.3">
      <c r="A45" s="188"/>
      <c r="B45" s="109" t="s">
        <v>8</v>
      </c>
      <c r="C45" s="109"/>
      <c r="D45" s="109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3"/>
      <c r="U45" s="73"/>
      <c r="V45" s="73"/>
      <c r="W45" s="73"/>
      <c r="X45" s="73"/>
      <c r="Y45" s="73"/>
    </row>
    <row r="46" spans="1:25" ht="16.5" thickTop="1" thickBot="1" x14ac:dyDescent="0.3">
      <c r="A46" s="188"/>
      <c r="B46" s="110" t="s">
        <v>9</v>
      </c>
      <c r="C46" s="110"/>
      <c r="D46" s="110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5"/>
      <c r="S46" s="75"/>
      <c r="T46" s="76"/>
      <c r="U46" s="76"/>
      <c r="V46" s="76"/>
      <c r="W46" s="76"/>
      <c r="X46" s="76"/>
      <c r="Y46" s="76"/>
    </row>
    <row r="47" spans="1:25" ht="16.5" thickTop="1" thickBot="1" x14ac:dyDescent="0.3">
      <c r="A47" s="188"/>
      <c r="B47" s="118" t="s">
        <v>14</v>
      </c>
      <c r="C47" s="111"/>
      <c r="D47" s="111"/>
      <c r="E47" s="103"/>
      <c r="F47" s="103"/>
      <c r="G47" s="103"/>
      <c r="H47" s="103"/>
      <c r="I47" s="103"/>
      <c r="J47" s="103"/>
      <c r="K47" s="103"/>
      <c r="L47" s="103"/>
      <c r="M47" s="103"/>
      <c r="N47" s="103"/>
      <c r="O47" s="103"/>
      <c r="P47" s="103"/>
      <c r="Q47" s="103"/>
      <c r="R47" s="103"/>
      <c r="S47" s="103"/>
      <c r="T47" s="104"/>
      <c r="U47" s="104"/>
      <c r="V47" s="104"/>
      <c r="W47" s="104"/>
      <c r="X47" s="104"/>
      <c r="Y47" s="104"/>
    </row>
    <row r="48" spans="1:25" ht="15.75" thickTop="1" x14ac:dyDescent="0.25"/>
    <row r="49" spans="1:5" x14ac:dyDescent="0.25">
      <c r="A49" t="s">
        <v>42</v>
      </c>
      <c r="B49" s="122" t="s">
        <v>43</v>
      </c>
    </row>
    <row r="50" spans="1:5" x14ac:dyDescent="0.25">
      <c r="A50" s="123" t="s">
        <v>180</v>
      </c>
      <c r="B50" s="124" t="s">
        <v>136</v>
      </c>
      <c r="E50" s="125"/>
    </row>
    <row r="51" spans="1:5" x14ac:dyDescent="0.25">
      <c r="A51" s="126" t="s">
        <v>254</v>
      </c>
      <c r="B51" s="124" t="s">
        <v>137</v>
      </c>
      <c r="E51" s="125"/>
    </row>
    <row r="52" spans="1:5" x14ac:dyDescent="0.25">
      <c r="A52" s="126"/>
      <c r="B52" s="124"/>
      <c r="E52" s="125"/>
    </row>
    <row r="53" spans="1:5" x14ac:dyDescent="0.25">
      <c r="A53" s="126"/>
      <c r="B53" s="127"/>
      <c r="E53" s="125"/>
    </row>
    <row r="54" spans="1:5" x14ac:dyDescent="0.25">
      <c r="A54" s="126"/>
      <c r="B54" s="127"/>
      <c r="E54" s="125"/>
    </row>
    <row r="55" spans="1:5" x14ac:dyDescent="0.25">
      <c r="A55" s="128"/>
      <c r="B55" s="129"/>
      <c r="E55" s="125"/>
    </row>
    <row r="56" spans="1:5" x14ac:dyDescent="0.25">
      <c r="A56" s="128"/>
      <c r="B56" s="129"/>
      <c r="E56" s="125"/>
    </row>
    <row r="57" spans="1:5" x14ac:dyDescent="0.25">
      <c r="A57" s="128"/>
      <c r="B57" s="129"/>
      <c r="E57" s="125"/>
    </row>
    <row r="58" spans="1:5" x14ac:dyDescent="0.25">
      <c r="A58" s="128"/>
      <c r="B58" s="129"/>
      <c r="E58" s="125"/>
    </row>
    <row r="59" spans="1:5" x14ac:dyDescent="0.25">
      <c r="A59" s="128"/>
      <c r="B59" s="129"/>
      <c r="E59" s="125"/>
    </row>
    <row r="60" spans="1:5" x14ac:dyDescent="0.25">
      <c r="A60" s="128"/>
      <c r="B60" s="129"/>
      <c r="E60" s="125"/>
    </row>
    <row r="61" spans="1:5" x14ac:dyDescent="0.25">
      <c r="A61" s="128"/>
      <c r="B61" s="129"/>
      <c r="E61" s="125"/>
    </row>
    <row r="62" spans="1:5" x14ac:dyDescent="0.25">
      <c r="A62" s="128"/>
      <c r="B62" s="129"/>
      <c r="E62" s="125"/>
    </row>
    <row r="63" spans="1:5" x14ac:dyDescent="0.25">
      <c r="A63" s="128"/>
      <c r="B63" s="129"/>
      <c r="E63" s="125"/>
    </row>
    <row r="64" spans="1:5" x14ac:dyDescent="0.25">
      <c r="A64" s="128"/>
      <c r="B64" s="129"/>
      <c r="E64" s="125"/>
    </row>
    <row r="65" spans="1:5" x14ac:dyDescent="0.25">
      <c r="A65" s="128"/>
      <c r="B65" s="129"/>
      <c r="E65" s="125"/>
    </row>
    <row r="66" spans="1:5" x14ac:dyDescent="0.25">
      <c r="A66" s="128"/>
      <c r="B66" s="129"/>
      <c r="E66" s="125"/>
    </row>
    <row r="67" spans="1:5" x14ac:dyDescent="0.25">
      <c r="A67" s="128"/>
      <c r="B67" s="129"/>
      <c r="E67" s="125"/>
    </row>
    <row r="68" spans="1:5" x14ac:dyDescent="0.25">
      <c r="A68" s="128"/>
      <c r="B68" s="129"/>
    </row>
    <row r="69" spans="1:5" x14ac:dyDescent="0.25">
      <c r="A69" s="128"/>
      <c r="B69" s="129"/>
    </row>
    <row r="70" spans="1:5" x14ac:dyDescent="0.25">
      <c r="A70" s="130"/>
      <c r="B70" s="131"/>
    </row>
  </sheetData>
  <mergeCells count="8">
    <mergeCell ref="A27:A33"/>
    <mergeCell ref="A34:A40"/>
    <mergeCell ref="A41:A47"/>
    <mergeCell ref="A1:I3"/>
    <mergeCell ref="A4:B4"/>
    <mergeCell ref="A6:A12"/>
    <mergeCell ref="A13:A19"/>
    <mergeCell ref="A20:A26"/>
  </mergeCells>
  <conditionalFormatting sqref="D6:Y6">
    <cfRule type="containsText" dxfId="194" priority="14" operator="containsText" text=" Анікєєв">
      <formula>NOT(ISERROR(SEARCH(" Анікєєв",D6)))</formula>
    </cfRule>
  </conditionalFormatting>
  <conditionalFormatting sqref="D7:X7">
    <cfRule type="containsText" dxfId="193" priority="13" operator="containsText" text=" Анікєєв">
      <formula>NOT(ISERROR(SEARCH(" Анікєєв",D7)))</formula>
    </cfRule>
  </conditionalFormatting>
  <conditionalFormatting sqref="D8:X8">
    <cfRule type="containsText" dxfId="192" priority="12" operator="containsText" text=" Анікєєв">
      <formula>NOT(ISERROR(SEARCH(" Анікєєв",D8)))</formula>
    </cfRule>
  </conditionalFormatting>
  <conditionalFormatting sqref="D9:X9">
    <cfRule type="containsText" dxfId="191" priority="11" operator="containsText" text=" Анікєєв">
      <formula>NOT(ISERROR(SEARCH(" Анікєєв",D9)))</formula>
    </cfRule>
  </conditionalFormatting>
  <conditionalFormatting sqref="D10:X11">
    <cfRule type="containsText" dxfId="190" priority="10" operator="containsText" text=" Анікєєв">
      <formula>NOT(ISERROR(SEARCH(" Анікєєв",D10)))</formula>
    </cfRule>
  </conditionalFormatting>
  <conditionalFormatting sqref="D12:X12">
    <cfRule type="containsText" dxfId="189" priority="9" operator="containsText" text=" Анікєєв">
      <formula>NOT(ISERROR(SEARCH(" Анікєєв",D12)))</formula>
    </cfRule>
  </conditionalFormatting>
  <conditionalFormatting sqref="D13:X19">
    <cfRule type="containsText" dxfId="188" priority="8" operator="containsText" text=" Анікєєв">
      <formula>NOT(ISERROR(SEARCH(" Анікєєв",D13)))</formula>
    </cfRule>
  </conditionalFormatting>
  <conditionalFormatting sqref="D20:X25">
    <cfRule type="containsText" dxfId="187" priority="7" operator="containsText" text=" Анікєєв">
      <formula>NOT(ISERROR(SEARCH(" Анікєєв",D20)))</formula>
    </cfRule>
  </conditionalFormatting>
  <conditionalFormatting sqref="D30:X32 D27:I29 M27:X29">
    <cfRule type="containsText" dxfId="186" priority="6" operator="containsText" text=" Анікєєв">
      <formula>NOT(ISERROR(SEARCH(" Анікєєв",D27)))</formula>
    </cfRule>
  </conditionalFormatting>
  <conditionalFormatting sqref="D34:X34">
    <cfRule type="containsText" dxfId="185" priority="5" operator="containsText" text=" Анікєєв">
      <formula>NOT(ISERROR(SEARCH(" Анікєєв",D34)))</formula>
    </cfRule>
  </conditionalFormatting>
  <conditionalFormatting sqref="D33:X33">
    <cfRule type="containsText" dxfId="184" priority="4" operator="containsText" text=" Анікєєв">
      <formula>NOT(ISERROR(SEARCH(" Анікєєв",D33)))</formula>
    </cfRule>
  </conditionalFormatting>
  <conditionalFormatting sqref="C34:C40">
    <cfRule type="containsText" dxfId="183" priority="3" operator="containsText" text=" Анікєєв">
      <formula>NOT(ISERROR(SEARCH(" Анікєєв",C34)))</formula>
    </cfRule>
  </conditionalFormatting>
  <conditionalFormatting sqref="B41:Y41">
    <cfRule type="containsText" dxfId="182" priority="2" operator="containsText" text=" Анікєєв">
      <formula>NOT(ISERROR(SEARCH(" Анікєєв",B41)))</formula>
    </cfRule>
  </conditionalFormatting>
  <conditionalFormatting sqref="J27:L29">
    <cfRule type="containsText" dxfId="181" priority="1" operator="containsText" text=" Анікєєв">
      <formula>NOT(ISERROR(SEARCH(" Анікєєв",J27)))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pageSetUpPr fitToPage="1"/>
  </sheetPr>
  <dimension ref="A1:Y70"/>
  <sheetViews>
    <sheetView zoomScale="70" zoomScaleNormal="70" workbookViewId="0">
      <pane xSplit="6" ySplit="5" topLeftCell="G6" activePane="bottomRight" state="frozenSplit"/>
      <selection pane="topRight" activeCell="J1" sqref="J1"/>
      <selection pane="bottomLeft" activeCell="B29" sqref="B29"/>
      <selection pane="bottomRight" activeCell="K30" sqref="K30"/>
    </sheetView>
  </sheetViews>
  <sheetFormatPr defaultRowHeight="15" x14ac:dyDescent="0.25"/>
  <cols>
    <col min="1" max="1" width="23.7109375" customWidth="1"/>
    <col min="2" max="2" width="11.85546875" customWidth="1"/>
    <col min="3" max="6" width="24.28515625" hidden="1" customWidth="1"/>
    <col min="7" max="7" width="26.85546875" customWidth="1"/>
    <col min="8" max="8" width="33" customWidth="1"/>
    <col min="9" max="9" width="33" bestFit="1" customWidth="1"/>
    <col min="10" max="11" width="36.5703125" bestFit="1" customWidth="1"/>
    <col min="12" max="12" width="35.85546875" bestFit="1" customWidth="1"/>
    <col min="13" max="13" width="33.42578125" bestFit="1" customWidth="1"/>
    <col min="14" max="19" width="24.28515625" bestFit="1" customWidth="1"/>
    <col min="20" max="21" width="27.5703125" bestFit="1" customWidth="1"/>
    <col min="22" max="22" width="25" customWidth="1"/>
    <col min="23" max="23" width="25" bestFit="1" customWidth="1"/>
    <col min="24" max="24" width="25" customWidth="1"/>
    <col min="25" max="25" width="25" bestFit="1" customWidth="1"/>
  </cols>
  <sheetData>
    <row r="1" spans="1:25" ht="15" customHeight="1" x14ac:dyDescent="0.25">
      <c r="A1" s="189"/>
      <c r="B1" s="189"/>
      <c r="C1" s="189"/>
      <c r="D1" s="189"/>
      <c r="E1" s="189"/>
      <c r="F1" s="189"/>
      <c r="G1" s="189"/>
      <c r="H1" s="189"/>
      <c r="I1" s="189"/>
      <c r="J1" s="9"/>
      <c r="K1" s="9"/>
      <c r="L1" s="9"/>
      <c r="M1" s="9"/>
      <c r="N1" s="9"/>
      <c r="O1" s="9"/>
      <c r="P1" s="9"/>
      <c r="Q1" s="9"/>
      <c r="R1" s="9"/>
    </row>
    <row r="2" spans="1:25" x14ac:dyDescent="0.25">
      <c r="A2" s="189"/>
      <c r="B2" s="189"/>
      <c r="C2" s="189"/>
      <c r="D2" s="189"/>
      <c r="E2" s="189"/>
      <c r="F2" s="189"/>
      <c r="G2" s="189"/>
      <c r="H2" s="189"/>
      <c r="I2" s="189"/>
      <c r="J2" s="9"/>
      <c r="K2" s="9"/>
      <c r="L2" s="9"/>
      <c r="M2" s="9"/>
      <c r="N2" s="9"/>
      <c r="O2" s="9"/>
      <c r="P2" s="9"/>
      <c r="Q2" s="9"/>
      <c r="R2" s="9"/>
    </row>
    <row r="3" spans="1:25" ht="15.75" thickBot="1" x14ac:dyDescent="0.3">
      <c r="A3" s="190"/>
      <c r="B3" s="190"/>
      <c r="C3" s="190"/>
      <c r="D3" s="190"/>
      <c r="E3" s="190"/>
      <c r="F3" s="190"/>
      <c r="G3" s="190"/>
      <c r="H3" s="190"/>
      <c r="I3" s="190"/>
      <c r="J3" s="9"/>
      <c r="K3" s="9"/>
      <c r="L3" s="9"/>
      <c r="M3" s="9"/>
      <c r="N3" s="9"/>
      <c r="O3" s="9"/>
      <c r="P3" s="9"/>
      <c r="Q3" s="9"/>
      <c r="R3" s="9"/>
    </row>
    <row r="4" spans="1:25" s="113" customFormat="1" ht="22.5" thickTop="1" thickBot="1" x14ac:dyDescent="0.35">
      <c r="A4" s="191" t="s">
        <v>13</v>
      </c>
      <c r="B4" s="192"/>
      <c r="C4" s="1">
        <v>1</v>
      </c>
      <c r="D4" s="1">
        <v>2</v>
      </c>
      <c r="E4" s="1">
        <v>3</v>
      </c>
      <c r="F4" s="1">
        <v>4</v>
      </c>
      <c r="G4" s="1">
        <v>5</v>
      </c>
      <c r="H4" s="1">
        <v>6</v>
      </c>
      <c r="I4" s="1">
        <v>7</v>
      </c>
      <c r="J4" s="1">
        <v>8</v>
      </c>
      <c r="K4" s="1">
        <v>9</v>
      </c>
      <c r="L4" s="1">
        <v>10</v>
      </c>
      <c r="M4" s="1">
        <v>11</v>
      </c>
      <c r="N4" s="1">
        <v>12</v>
      </c>
      <c r="O4" s="1">
        <v>13</v>
      </c>
      <c r="P4" s="1">
        <v>14</v>
      </c>
      <c r="Q4" s="1">
        <v>15</v>
      </c>
      <c r="R4" s="1">
        <v>16</v>
      </c>
      <c r="S4" s="1">
        <v>17</v>
      </c>
      <c r="T4" s="112">
        <v>18</v>
      </c>
      <c r="U4" s="112">
        <v>19</v>
      </c>
      <c r="V4" s="112">
        <v>20</v>
      </c>
      <c r="W4" s="112">
        <v>21</v>
      </c>
      <c r="X4" s="112">
        <v>22</v>
      </c>
      <c r="Y4" s="112">
        <v>23</v>
      </c>
    </row>
    <row r="5" spans="1:25" ht="21.75" thickTop="1" thickBot="1" x14ac:dyDescent="0.35">
      <c r="A5" s="2" t="s">
        <v>0</v>
      </c>
      <c r="B5" s="3" t="s">
        <v>1</v>
      </c>
      <c r="C5" s="4" t="s">
        <v>49</v>
      </c>
      <c r="D5" s="4" t="s">
        <v>50</v>
      </c>
      <c r="E5" s="4" t="s">
        <v>51</v>
      </c>
      <c r="F5" s="4" t="s">
        <v>52</v>
      </c>
      <c r="G5" s="4" t="s">
        <v>48</v>
      </c>
      <c r="H5" s="4" t="s">
        <v>47</v>
      </c>
      <c r="I5" s="4" t="s">
        <v>46</v>
      </c>
      <c r="J5" s="4" t="s">
        <v>45</v>
      </c>
      <c r="K5" s="4" t="s">
        <v>53</v>
      </c>
      <c r="L5" s="4" t="s">
        <v>54</v>
      </c>
      <c r="M5" s="4" t="s">
        <v>61</v>
      </c>
      <c r="N5" s="4" t="s">
        <v>60</v>
      </c>
      <c r="O5" s="4" t="s">
        <v>59</v>
      </c>
      <c r="P5" s="4" t="s">
        <v>58</v>
      </c>
      <c r="Q5" s="4" t="s">
        <v>57</v>
      </c>
      <c r="R5" s="4" t="s">
        <v>56</v>
      </c>
      <c r="S5" s="4" t="s">
        <v>55</v>
      </c>
      <c r="T5" s="114"/>
      <c r="U5" s="114"/>
      <c r="V5" s="114"/>
      <c r="W5" s="114"/>
      <c r="X5" s="114"/>
      <c r="Y5" s="114"/>
    </row>
    <row r="6" spans="1:25" s="8" customFormat="1" ht="16.149999999999999" customHeight="1" thickTop="1" thickBot="1" x14ac:dyDescent="0.3">
      <c r="A6" s="193" t="s">
        <v>2</v>
      </c>
      <c r="B6" s="115" t="s">
        <v>10</v>
      </c>
      <c r="C6" s="65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7"/>
      <c r="U6" s="67"/>
      <c r="V6" s="67"/>
      <c r="W6" s="67"/>
      <c r="X6" s="67"/>
      <c r="Y6" s="67"/>
    </row>
    <row r="7" spans="1:25" s="8" customFormat="1" ht="16.149999999999999" customHeight="1" thickTop="1" thickBot="1" x14ac:dyDescent="0.3">
      <c r="A7" s="193"/>
      <c r="B7" s="116" t="s">
        <v>11</v>
      </c>
      <c r="C7" s="68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69"/>
      <c r="S7" s="69"/>
      <c r="T7" s="70"/>
      <c r="U7" s="70"/>
      <c r="V7" s="70"/>
      <c r="W7" s="70"/>
      <c r="X7" s="70"/>
      <c r="Y7" s="71"/>
    </row>
    <row r="8" spans="1:25" s="8" customFormat="1" ht="16.149999999999999" customHeight="1" thickTop="1" thickBot="1" x14ac:dyDescent="0.3">
      <c r="A8" s="193"/>
      <c r="B8" s="116" t="s">
        <v>12</v>
      </c>
      <c r="C8" s="68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3"/>
      <c r="U8" s="73"/>
      <c r="V8" s="73"/>
      <c r="W8" s="73"/>
      <c r="X8" s="73"/>
      <c r="Y8" s="71"/>
    </row>
    <row r="9" spans="1:25" s="8" customFormat="1" ht="16.149999999999999" customHeight="1" thickTop="1" thickBot="1" x14ac:dyDescent="0.3">
      <c r="A9" s="193"/>
      <c r="B9" s="116" t="s">
        <v>7</v>
      </c>
      <c r="C9" s="68"/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3"/>
      <c r="U9" s="73"/>
      <c r="V9" s="73"/>
      <c r="W9" s="73"/>
      <c r="X9" s="73"/>
      <c r="Y9" s="71"/>
    </row>
    <row r="10" spans="1:25" s="8" customFormat="1" ht="16.149999999999999" customHeight="1" thickTop="1" thickBot="1" x14ac:dyDescent="0.3">
      <c r="A10" s="193"/>
      <c r="B10" s="116" t="s">
        <v>8</v>
      </c>
      <c r="C10" s="68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3"/>
      <c r="U10" s="73"/>
      <c r="V10" s="73"/>
      <c r="W10" s="73"/>
      <c r="X10" s="73"/>
      <c r="Y10" s="71"/>
    </row>
    <row r="11" spans="1:25" s="8" customFormat="1" ht="16.149999999999999" customHeight="1" thickTop="1" thickBot="1" x14ac:dyDescent="0.3">
      <c r="A11" s="193"/>
      <c r="B11" s="117" t="s">
        <v>9</v>
      </c>
      <c r="C11" s="74"/>
      <c r="D11" s="75"/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6"/>
      <c r="U11" s="76"/>
      <c r="V11" s="76"/>
      <c r="W11" s="76"/>
      <c r="X11" s="76"/>
      <c r="Y11" s="77"/>
    </row>
    <row r="12" spans="1:25" s="11" customFormat="1" ht="16.149999999999999" customHeight="1" thickTop="1" thickBot="1" x14ac:dyDescent="0.3">
      <c r="A12" s="193"/>
      <c r="B12" s="118" t="s">
        <v>14</v>
      </c>
      <c r="C12" s="78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80"/>
      <c r="U12" s="80"/>
      <c r="V12" s="80"/>
      <c r="W12" s="80"/>
      <c r="X12" s="80"/>
      <c r="Y12" s="81"/>
    </row>
    <row r="13" spans="1:25" s="11" customFormat="1" ht="16.149999999999999" customHeight="1" thickTop="1" thickBot="1" x14ac:dyDescent="0.3">
      <c r="A13" s="194" t="s">
        <v>3</v>
      </c>
      <c r="B13" s="97" t="s">
        <v>10</v>
      </c>
      <c r="C13" s="82"/>
      <c r="D13" s="83"/>
      <c r="E13" s="83"/>
      <c r="F13" s="83"/>
      <c r="G13" s="83"/>
      <c r="H13" s="83"/>
      <c r="I13" s="83"/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4"/>
      <c r="U13" s="84"/>
      <c r="V13" s="84"/>
      <c r="W13" s="84"/>
      <c r="X13" s="84"/>
      <c r="Y13" s="85"/>
    </row>
    <row r="14" spans="1:25" s="11" customFormat="1" ht="16.5" thickTop="1" thickBot="1" x14ac:dyDescent="0.3">
      <c r="A14" s="194"/>
      <c r="B14" s="119" t="s">
        <v>11</v>
      </c>
      <c r="C14" s="86"/>
      <c r="D14" s="87"/>
      <c r="E14" s="87"/>
      <c r="F14" s="87"/>
      <c r="G14" s="87"/>
      <c r="H14" s="87" t="s">
        <v>280</v>
      </c>
      <c r="I14" s="87" t="s">
        <v>280</v>
      </c>
      <c r="J14" s="87" t="s">
        <v>335</v>
      </c>
      <c r="K14" s="87" t="s">
        <v>335</v>
      </c>
      <c r="L14" s="87" t="s">
        <v>335</v>
      </c>
      <c r="M14" s="87"/>
      <c r="N14" s="87"/>
      <c r="O14" s="87"/>
      <c r="P14" s="87"/>
      <c r="Q14" s="87"/>
      <c r="R14" s="87"/>
      <c r="S14" s="87"/>
      <c r="T14" s="88"/>
      <c r="U14" s="88"/>
      <c r="V14" s="88"/>
      <c r="W14" s="88"/>
      <c r="X14" s="88"/>
      <c r="Y14" s="71"/>
    </row>
    <row r="15" spans="1:25" s="11" customFormat="1" ht="31.5" thickTop="1" thickBot="1" x14ac:dyDescent="0.3">
      <c r="A15" s="194"/>
      <c r="B15" s="119" t="s">
        <v>12</v>
      </c>
      <c r="C15" s="89"/>
      <c r="D15" s="90"/>
      <c r="E15" s="90"/>
      <c r="F15" s="90"/>
      <c r="G15" s="90"/>
      <c r="H15" s="90" t="s">
        <v>281</v>
      </c>
      <c r="I15" s="90" t="s">
        <v>281</v>
      </c>
      <c r="J15" s="90" t="s">
        <v>336</v>
      </c>
      <c r="K15" s="90" t="s">
        <v>336</v>
      </c>
      <c r="L15" s="90" t="s">
        <v>336</v>
      </c>
      <c r="M15" s="90"/>
      <c r="N15" s="90"/>
      <c r="O15" s="90"/>
      <c r="P15" s="90"/>
      <c r="Q15" s="90"/>
      <c r="R15" s="90"/>
      <c r="S15" s="90"/>
      <c r="T15" s="73"/>
      <c r="U15" s="73"/>
      <c r="V15" s="73"/>
      <c r="W15" s="73"/>
      <c r="X15" s="73"/>
      <c r="Y15" s="71"/>
    </row>
    <row r="16" spans="1:25" s="11" customFormat="1" ht="31.5" thickTop="1" thickBot="1" x14ac:dyDescent="0.3">
      <c r="A16" s="194"/>
      <c r="B16" s="119" t="s">
        <v>7</v>
      </c>
      <c r="C16" s="86"/>
      <c r="D16" s="87"/>
      <c r="E16" s="99" t="s">
        <v>240</v>
      </c>
      <c r="F16" s="99" t="s">
        <v>240</v>
      </c>
      <c r="G16" s="99" t="s">
        <v>240</v>
      </c>
      <c r="H16" s="99" t="s">
        <v>240</v>
      </c>
      <c r="I16" s="99" t="s">
        <v>240</v>
      </c>
      <c r="J16" s="99" t="s">
        <v>337</v>
      </c>
      <c r="K16" s="99" t="s">
        <v>337</v>
      </c>
      <c r="L16" s="99" t="s">
        <v>337</v>
      </c>
      <c r="M16" s="87"/>
      <c r="N16" s="87"/>
      <c r="O16" s="87"/>
      <c r="P16" s="87"/>
      <c r="Q16" s="87"/>
      <c r="R16" s="87"/>
      <c r="S16" s="87"/>
      <c r="T16" s="88"/>
      <c r="U16" s="88"/>
      <c r="V16" s="88"/>
      <c r="W16" s="88"/>
      <c r="X16" s="88"/>
      <c r="Y16" s="71"/>
    </row>
    <row r="17" spans="1:25" s="11" customFormat="1" ht="16.149999999999999" customHeight="1" thickTop="1" thickBot="1" x14ac:dyDescent="0.3">
      <c r="A17" s="194"/>
      <c r="B17" s="119" t="s">
        <v>8</v>
      </c>
      <c r="C17" s="86"/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8"/>
      <c r="U17" s="88"/>
      <c r="V17" s="88"/>
      <c r="W17" s="88"/>
      <c r="X17" s="88"/>
      <c r="Y17" s="71"/>
    </row>
    <row r="18" spans="1:25" s="8" customFormat="1" ht="16.149999999999999" customHeight="1" thickTop="1" thickBot="1" x14ac:dyDescent="0.3">
      <c r="A18" s="194"/>
      <c r="B18" s="120" t="s">
        <v>9</v>
      </c>
      <c r="C18" s="86"/>
      <c r="D18" s="91"/>
      <c r="E18" s="91"/>
      <c r="F18" s="91"/>
      <c r="G18" s="91"/>
      <c r="H18" s="91"/>
      <c r="I18" s="91"/>
      <c r="J18" s="91"/>
      <c r="K18" s="91"/>
      <c r="L18" s="91"/>
      <c r="M18" s="91"/>
      <c r="N18" s="91"/>
      <c r="O18" s="91"/>
      <c r="P18" s="91"/>
      <c r="Q18" s="91"/>
      <c r="R18" s="91"/>
      <c r="S18" s="91"/>
      <c r="T18" s="92"/>
      <c r="U18" s="92"/>
      <c r="V18" s="92"/>
      <c r="W18" s="92"/>
      <c r="X18" s="92"/>
      <c r="Y18" s="77"/>
    </row>
    <row r="19" spans="1:25" s="8" customFormat="1" ht="16.149999999999999" customHeight="1" thickTop="1" thickBot="1" x14ac:dyDescent="0.3">
      <c r="A19" s="194"/>
      <c r="B19" s="121" t="s">
        <v>14</v>
      </c>
      <c r="C19" s="93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80"/>
      <c r="U19" s="80"/>
      <c r="V19" s="80"/>
      <c r="W19" s="80"/>
      <c r="X19" s="80"/>
      <c r="Y19" s="81"/>
    </row>
    <row r="20" spans="1:25" s="8" customFormat="1" ht="31.9" customHeight="1" thickTop="1" thickBot="1" x14ac:dyDescent="0.3">
      <c r="A20" s="193" t="s">
        <v>4</v>
      </c>
      <c r="B20" s="115" t="s">
        <v>10</v>
      </c>
      <c r="C20" s="65"/>
      <c r="D20" s="95"/>
      <c r="E20" s="95"/>
      <c r="F20" s="95"/>
      <c r="G20" s="135" t="s">
        <v>275</v>
      </c>
      <c r="H20" s="135" t="s">
        <v>275</v>
      </c>
      <c r="I20" s="135" t="s">
        <v>275</v>
      </c>
      <c r="J20" s="135" t="s">
        <v>338</v>
      </c>
      <c r="K20" s="135" t="s">
        <v>338</v>
      </c>
      <c r="L20" s="135" t="s">
        <v>338</v>
      </c>
      <c r="M20" s="135" t="s">
        <v>338</v>
      </c>
      <c r="N20" s="95"/>
      <c r="O20" s="95"/>
      <c r="P20" s="95"/>
      <c r="Q20" s="95"/>
      <c r="R20" s="95"/>
      <c r="S20" s="95"/>
      <c r="T20" s="84"/>
      <c r="U20" s="84"/>
      <c r="V20" s="84"/>
      <c r="W20" s="84"/>
      <c r="X20" s="84"/>
      <c r="Y20" s="85"/>
    </row>
    <row r="21" spans="1:25" s="8" customFormat="1" ht="16.899999999999999" customHeight="1" thickTop="1" thickBot="1" x14ac:dyDescent="0.3">
      <c r="A21" s="193"/>
      <c r="B21" s="116" t="s">
        <v>11</v>
      </c>
      <c r="C21" s="68"/>
      <c r="D21" s="96"/>
      <c r="E21" s="96"/>
      <c r="F21" s="96"/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88"/>
      <c r="U21" s="88"/>
      <c r="V21" s="88"/>
      <c r="W21" s="88"/>
      <c r="X21" s="88"/>
      <c r="Y21" s="71"/>
    </row>
    <row r="22" spans="1:25" s="8" customFormat="1" ht="16.149999999999999" customHeight="1" thickTop="1" thickBot="1" x14ac:dyDescent="0.3">
      <c r="A22" s="193"/>
      <c r="B22" s="116" t="s">
        <v>12</v>
      </c>
      <c r="C22" s="68"/>
      <c r="D22" s="96"/>
      <c r="E22" s="96"/>
      <c r="F22" s="96"/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88"/>
      <c r="U22" s="88"/>
      <c r="V22" s="88"/>
      <c r="W22" s="88"/>
      <c r="X22" s="88"/>
      <c r="Y22" s="71"/>
    </row>
    <row r="23" spans="1:25" s="8" customFormat="1" ht="16.149999999999999" customHeight="1" thickTop="1" thickBot="1" x14ac:dyDescent="0.3">
      <c r="A23" s="193"/>
      <c r="B23" s="116" t="s">
        <v>7</v>
      </c>
      <c r="C23" s="68"/>
      <c r="D23" s="96"/>
      <c r="E23" s="96"/>
      <c r="F23" s="96"/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88"/>
      <c r="U23" s="88"/>
      <c r="V23" s="88"/>
      <c r="W23" s="88"/>
      <c r="X23" s="88"/>
      <c r="Y23" s="71"/>
    </row>
    <row r="24" spans="1:25" s="8" customFormat="1" ht="16.149999999999999" customHeight="1" thickTop="1" thickBot="1" x14ac:dyDescent="0.3">
      <c r="A24" s="193"/>
      <c r="B24" s="116" t="s">
        <v>8</v>
      </c>
      <c r="C24" s="68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3"/>
      <c r="U24" s="73"/>
      <c r="V24" s="73"/>
      <c r="W24" s="73"/>
      <c r="X24" s="73"/>
      <c r="Y24" s="71"/>
    </row>
    <row r="25" spans="1:25" s="11" customFormat="1" ht="16.149999999999999" customHeight="1" thickTop="1" thickBot="1" x14ac:dyDescent="0.3">
      <c r="A25" s="193"/>
      <c r="B25" s="116" t="s">
        <v>9</v>
      </c>
      <c r="C25" s="68"/>
      <c r="D25" s="96"/>
      <c r="E25" s="96"/>
      <c r="F25" s="96"/>
      <c r="G25" s="96"/>
      <c r="H25" s="96"/>
      <c r="I25" s="96"/>
      <c r="J25" s="96"/>
      <c r="K25" s="96"/>
      <c r="L25" s="96"/>
      <c r="M25" s="96"/>
      <c r="N25" s="96"/>
      <c r="O25" s="96"/>
      <c r="P25" s="96"/>
      <c r="Q25" s="96"/>
      <c r="R25" s="96"/>
      <c r="S25" s="96"/>
      <c r="T25" s="88"/>
      <c r="U25" s="88"/>
      <c r="V25" s="88"/>
      <c r="W25" s="88"/>
      <c r="X25" s="88"/>
      <c r="Y25" s="71"/>
    </row>
    <row r="26" spans="1:25" s="11" customFormat="1" ht="16.149999999999999" customHeight="1" thickTop="1" thickBot="1" x14ac:dyDescent="0.3">
      <c r="A26" s="193"/>
      <c r="B26" s="118" t="s">
        <v>14</v>
      </c>
      <c r="C26" s="78"/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80"/>
      <c r="U26" s="80"/>
      <c r="V26" s="80"/>
      <c r="W26" s="80"/>
      <c r="X26" s="80"/>
      <c r="Y26" s="81"/>
    </row>
    <row r="27" spans="1:25" s="11" customFormat="1" ht="29.25" customHeight="1" thickTop="1" thickBot="1" x14ac:dyDescent="0.3">
      <c r="A27" s="194" t="s">
        <v>5</v>
      </c>
      <c r="B27" s="97" t="s">
        <v>10</v>
      </c>
      <c r="C27" s="97"/>
      <c r="D27" s="98"/>
      <c r="E27" s="98"/>
      <c r="F27" s="98"/>
      <c r="G27" s="98"/>
      <c r="H27" s="87" t="s">
        <v>280</v>
      </c>
      <c r="I27" s="87" t="s">
        <v>280</v>
      </c>
      <c r="J27" s="87" t="s">
        <v>335</v>
      </c>
      <c r="K27" s="87" t="s">
        <v>335</v>
      </c>
      <c r="L27" s="87" t="s">
        <v>335</v>
      </c>
      <c r="M27" s="98"/>
      <c r="N27" s="98"/>
      <c r="O27" s="98"/>
      <c r="P27" s="98"/>
      <c r="Q27" s="98"/>
      <c r="R27" s="98"/>
      <c r="S27" s="98"/>
      <c r="T27" s="67"/>
      <c r="U27" s="67"/>
      <c r="V27" s="67"/>
      <c r="W27" s="67"/>
      <c r="X27" s="67"/>
      <c r="Y27" s="85"/>
    </row>
    <row r="28" spans="1:25" s="11" customFormat="1" ht="37.5" customHeight="1" thickTop="1" thickBot="1" x14ac:dyDescent="0.3">
      <c r="A28" s="194"/>
      <c r="B28" s="119" t="s">
        <v>11</v>
      </c>
      <c r="C28" s="86"/>
      <c r="D28" s="87"/>
      <c r="E28" s="87"/>
      <c r="F28" s="87"/>
      <c r="G28" s="87"/>
      <c r="H28" s="90" t="s">
        <v>281</v>
      </c>
      <c r="I28" s="90" t="s">
        <v>281</v>
      </c>
      <c r="J28" s="90" t="s">
        <v>336</v>
      </c>
      <c r="K28" s="90" t="s">
        <v>336</v>
      </c>
      <c r="L28" s="90" t="s">
        <v>336</v>
      </c>
      <c r="M28" s="87"/>
      <c r="N28" s="87"/>
      <c r="O28" s="87"/>
      <c r="P28" s="87"/>
      <c r="Q28" s="87"/>
      <c r="R28" s="87"/>
      <c r="S28" s="87"/>
      <c r="T28" s="88"/>
      <c r="U28" s="88"/>
      <c r="V28" s="88"/>
      <c r="W28" s="88"/>
      <c r="X28" s="88"/>
      <c r="Y28" s="71"/>
    </row>
    <row r="29" spans="1:25" s="11" customFormat="1" ht="61.5" thickTop="1" thickBot="1" x14ac:dyDescent="0.3">
      <c r="A29" s="194"/>
      <c r="B29" s="119" t="s">
        <v>12</v>
      </c>
      <c r="C29" s="86"/>
      <c r="D29" s="90" t="s">
        <v>198</v>
      </c>
      <c r="E29" s="90" t="s">
        <v>198</v>
      </c>
      <c r="F29" s="90" t="s">
        <v>198</v>
      </c>
      <c r="G29" s="90" t="s">
        <v>276</v>
      </c>
      <c r="H29" s="90" t="s">
        <v>276</v>
      </c>
      <c r="I29" s="90" t="s">
        <v>292</v>
      </c>
      <c r="J29" s="90" t="s">
        <v>339</v>
      </c>
      <c r="K29" s="90" t="s">
        <v>339</v>
      </c>
      <c r="L29" s="90" t="s">
        <v>338</v>
      </c>
      <c r="M29" s="90" t="s">
        <v>338</v>
      </c>
      <c r="N29" s="87"/>
      <c r="O29" s="87"/>
      <c r="P29" s="87"/>
      <c r="Q29" s="87"/>
      <c r="R29" s="87"/>
      <c r="S29" s="87"/>
      <c r="T29" s="88"/>
      <c r="U29" s="88"/>
      <c r="V29" s="88"/>
      <c r="W29" s="88"/>
      <c r="X29" s="88"/>
      <c r="Y29" s="71"/>
    </row>
    <row r="30" spans="1:25" s="11" customFormat="1" ht="91.5" thickTop="1" thickBot="1" x14ac:dyDescent="0.3">
      <c r="A30" s="194"/>
      <c r="B30" s="119" t="s">
        <v>7</v>
      </c>
      <c r="C30" s="99" t="s">
        <v>123</v>
      </c>
      <c r="D30" s="99" t="s">
        <v>123</v>
      </c>
      <c r="E30" s="99" t="s">
        <v>123</v>
      </c>
      <c r="F30" s="99" t="s">
        <v>123</v>
      </c>
      <c r="G30" s="99" t="s">
        <v>123</v>
      </c>
      <c r="H30" s="99" t="s">
        <v>123</v>
      </c>
      <c r="I30" s="99" t="s">
        <v>123</v>
      </c>
      <c r="J30" s="99" t="s">
        <v>373</v>
      </c>
      <c r="K30" s="99" t="s">
        <v>373</v>
      </c>
      <c r="L30" s="99" t="s">
        <v>337</v>
      </c>
      <c r="M30" s="90"/>
      <c r="N30" s="90"/>
      <c r="O30" s="90"/>
      <c r="P30" s="90"/>
      <c r="Q30" s="90"/>
      <c r="R30" s="90"/>
      <c r="S30" s="90"/>
      <c r="T30" s="73"/>
      <c r="U30" s="73"/>
      <c r="V30" s="73"/>
      <c r="W30" s="73"/>
      <c r="X30" s="73"/>
      <c r="Y30" s="71"/>
    </row>
    <row r="31" spans="1:25" s="11" customFormat="1" ht="33" customHeight="1" thickTop="1" thickBot="1" x14ac:dyDescent="0.3">
      <c r="A31" s="194"/>
      <c r="B31" s="119" t="s">
        <v>8</v>
      </c>
      <c r="C31" s="99" t="s">
        <v>124</v>
      </c>
      <c r="D31" s="99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90"/>
      <c r="S31" s="90"/>
      <c r="T31" s="73"/>
      <c r="U31" s="73"/>
      <c r="V31" s="73"/>
      <c r="W31" s="73"/>
      <c r="X31" s="73"/>
      <c r="Y31" s="100"/>
    </row>
    <row r="32" spans="1:25" s="8" customFormat="1" ht="16.149999999999999" customHeight="1" thickTop="1" thickBot="1" x14ac:dyDescent="0.3">
      <c r="A32" s="194"/>
      <c r="B32" s="120" t="s">
        <v>9</v>
      </c>
      <c r="C32" s="99"/>
      <c r="D32" s="99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73"/>
      <c r="U32" s="73"/>
      <c r="V32" s="73"/>
      <c r="W32" s="73"/>
      <c r="X32" s="73"/>
      <c r="Y32" s="101"/>
    </row>
    <row r="33" spans="1:25" s="8" customFormat="1" ht="16.5" thickTop="1" thickBot="1" x14ac:dyDescent="0.3">
      <c r="A33" s="194"/>
      <c r="B33" s="121" t="s">
        <v>14</v>
      </c>
      <c r="C33" s="90"/>
      <c r="D33" s="87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88"/>
      <c r="U33" s="88"/>
      <c r="V33" s="88"/>
      <c r="W33" s="88"/>
      <c r="X33" s="88"/>
      <c r="Y33" s="81"/>
    </row>
    <row r="34" spans="1:25" s="8" customFormat="1" ht="16.149999999999999" customHeight="1" thickTop="1" thickBot="1" x14ac:dyDescent="0.3">
      <c r="A34" s="188" t="s">
        <v>6</v>
      </c>
      <c r="B34" s="115" t="s">
        <v>10</v>
      </c>
      <c r="C34" s="95"/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84"/>
      <c r="U34" s="84"/>
      <c r="V34" s="84"/>
      <c r="W34" s="84"/>
      <c r="X34" s="84"/>
      <c r="Y34" s="85"/>
    </row>
    <row r="35" spans="1:25" s="8" customFormat="1" ht="16.149999999999999" customHeight="1" thickTop="1" thickBot="1" x14ac:dyDescent="0.3">
      <c r="A35" s="188"/>
      <c r="B35" s="116" t="s">
        <v>11</v>
      </c>
      <c r="C35" s="96"/>
      <c r="D35" s="96"/>
      <c r="E35" s="96"/>
      <c r="F35" s="96"/>
      <c r="G35" s="96"/>
      <c r="H35" s="96"/>
      <c r="I35" s="96"/>
      <c r="J35" s="96"/>
      <c r="K35" s="96"/>
      <c r="L35" s="96"/>
      <c r="M35" s="96"/>
      <c r="N35" s="96"/>
      <c r="O35" s="96"/>
      <c r="P35" s="96"/>
      <c r="Q35" s="96"/>
      <c r="R35" s="96"/>
      <c r="S35" s="96"/>
      <c r="T35" s="88"/>
      <c r="U35" s="88"/>
      <c r="V35" s="88"/>
      <c r="W35" s="88"/>
      <c r="X35" s="88"/>
      <c r="Y35" s="71"/>
    </row>
    <row r="36" spans="1:25" s="8" customFormat="1" ht="16.149999999999999" customHeight="1" thickTop="1" thickBot="1" x14ac:dyDescent="0.3">
      <c r="A36" s="188"/>
      <c r="B36" s="116" t="s">
        <v>12</v>
      </c>
      <c r="C36" s="69"/>
      <c r="D36" s="69"/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69"/>
      <c r="S36" s="69"/>
      <c r="T36" s="70"/>
      <c r="U36" s="70"/>
      <c r="V36" s="70"/>
      <c r="W36" s="70"/>
      <c r="X36" s="70"/>
      <c r="Y36" s="71"/>
    </row>
    <row r="37" spans="1:25" ht="16.149999999999999" customHeight="1" thickTop="1" thickBot="1" x14ac:dyDescent="0.3">
      <c r="A37" s="188"/>
      <c r="B37" s="116" t="s">
        <v>7</v>
      </c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3"/>
      <c r="U37" s="73"/>
      <c r="V37" s="73"/>
      <c r="W37" s="73"/>
      <c r="X37" s="73"/>
      <c r="Y37" s="100"/>
    </row>
    <row r="38" spans="1:25" ht="16.149999999999999" customHeight="1" thickTop="1" thickBot="1" x14ac:dyDescent="0.3">
      <c r="A38" s="188"/>
      <c r="B38" s="116" t="s">
        <v>8</v>
      </c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3"/>
      <c r="U38" s="73"/>
      <c r="V38" s="73"/>
      <c r="W38" s="73"/>
      <c r="X38" s="73"/>
      <c r="Y38" s="71"/>
    </row>
    <row r="39" spans="1:25" ht="16.149999999999999" customHeight="1" thickTop="1" thickBot="1" x14ac:dyDescent="0.3">
      <c r="A39" s="188"/>
      <c r="B39" s="117" t="s">
        <v>9</v>
      </c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6"/>
      <c r="U39" s="76"/>
      <c r="V39" s="76"/>
      <c r="W39" s="76"/>
      <c r="X39" s="76"/>
      <c r="Y39" s="77"/>
    </row>
    <row r="40" spans="1:25" ht="16.149999999999999" customHeight="1" thickTop="1" thickBot="1" x14ac:dyDescent="0.3">
      <c r="A40" s="188"/>
      <c r="B40" s="118" t="s">
        <v>14</v>
      </c>
      <c r="C40" s="102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3"/>
      <c r="S40" s="103"/>
      <c r="T40" s="104"/>
      <c r="U40" s="104"/>
      <c r="V40" s="104"/>
      <c r="W40" s="104"/>
      <c r="X40" s="104"/>
      <c r="Y40" s="105"/>
    </row>
    <row r="41" spans="1:25" ht="16.149999999999999" customHeight="1" thickTop="1" thickBot="1" x14ac:dyDescent="0.3">
      <c r="A41" s="188" t="s">
        <v>24</v>
      </c>
      <c r="B41" s="106" t="s">
        <v>10</v>
      </c>
      <c r="C41" s="106"/>
      <c r="D41" s="106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84"/>
      <c r="U41" s="84"/>
      <c r="V41" s="84"/>
      <c r="W41" s="84"/>
      <c r="X41" s="84"/>
      <c r="Y41" s="84"/>
    </row>
    <row r="42" spans="1:25" ht="16.149999999999999" customHeight="1" thickTop="1" thickBot="1" x14ac:dyDescent="0.3">
      <c r="A42" s="188"/>
      <c r="B42" s="107" t="s">
        <v>11</v>
      </c>
      <c r="C42" s="107"/>
      <c r="D42" s="107"/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88"/>
      <c r="U42" s="88"/>
      <c r="V42" s="88"/>
      <c r="W42" s="88"/>
      <c r="X42" s="88"/>
      <c r="Y42" s="88"/>
    </row>
    <row r="43" spans="1:25" ht="16.149999999999999" customHeight="1" thickTop="1" thickBot="1" x14ac:dyDescent="0.3">
      <c r="A43" s="188"/>
      <c r="B43" s="108" t="s">
        <v>12</v>
      </c>
      <c r="C43" s="108"/>
      <c r="D43" s="108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69"/>
      <c r="Q43" s="69"/>
      <c r="R43" s="69"/>
      <c r="S43" s="69"/>
      <c r="T43" s="70"/>
      <c r="U43" s="70"/>
      <c r="V43" s="70"/>
      <c r="W43" s="70"/>
      <c r="X43" s="70"/>
      <c r="Y43" s="70"/>
    </row>
    <row r="44" spans="1:25" ht="16.5" thickTop="1" thickBot="1" x14ac:dyDescent="0.3">
      <c r="A44" s="188"/>
      <c r="B44" s="109" t="s">
        <v>7</v>
      </c>
      <c r="C44" s="109"/>
      <c r="D44" s="109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3"/>
      <c r="U44" s="73"/>
      <c r="V44" s="73"/>
      <c r="W44" s="73"/>
      <c r="X44" s="73"/>
      <c r="Y44" s="73"/>
    </row>
    <row r="45" spans="1:25" ht="16.5" thickTop="1" thickBot="1" x14ac:dyDescent="0.3">
      <c r="A45" s="188"/>
      <c r="B45" s="109" t="s">
        <v>8</v>
      </c>
      <c r="C45" s="109"/>
      <c r="D45" s="109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3"/>
      <c r="U45" s="73"/>
      <c r="V45" s="73"/>
      <c r="W45" s="73"/>
      <c r="X45" s="73"/>
      <c r="Y45" s="73"/>
    </row>
    <row r="46" spans="1:25" ht="16.5" thickTop="1" thickBot="1" x14ac:dyDescent="0.3">
      <c r="A46" s="188"/>
      <c r="B46" s="110" t="s">
        <v>9</v>
      </c>
      <c r="C46" s="110"/>
      <c r="D46" s="110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5"/>
      <c r="S46" s="75"/>
      <c r="T46" s="76"/>
      <c r="U46" s="76"/>
      <c r="V46" s="76"/>
      <c r="W46" s="76"/>
      <c r="X46" s="76"/>
      <c r="Y46" s="76"/>
    </row>
    <row r="47" spans="1:25" ht="16.5" thickTop="1" thickBot="1" x14ac:dyDescent="0.3">
      <c r="A47" s="188"/>
      <c r="B47" s="118" t="s">
        <v>14</v>
      </c>
      <c r="C47" s="111"/>
      <c r="D47" s="111"/>
      <c r="E47" s="103"/>
      <c r="F47" s="103"/>
      <c r="G47" s="103"/>
      <c r="H47" s="103"/>
      <c r="I47" s="103"/>
      <c r="J47" s="103"/>
      <c r="K47" s="103"/>
      <c r="L47" s="103"/>
      <c r="M47" s="103"/>
      <c r="N47" s="103"/>
      <c r="O47" s="103"/>
      <c r="P47" s="103"/>
      <c r="Q47" s="103"/>
      <c r="R47" s="103"/>
      <c r="S47" s="103"/>
      <c r="T47" s="104"/>
      <c r="U47" s="104"/>
      <c r="V47" s="104"/>
      <c r="W47" s="104"/>
      <c r="X47" s="104"/>
      <c r="Y47" s="104"/>
    </row>
    <row r="48" spans="1:25" ht="15.75" thickTop="1" x14ac:dyDescent="0.25"/>
    <row r="49" spans="1:5" x14ac:dyDescent="0.25">
      <c r="A49" t="s">
        <v>42</v>
      </c>
      <c r="B49" s="122" t="s">
        <v>43</v>
      </c>
    </row>
    <row r="50" spans="1:5" x14ac:dyDescent="0.25">
      <c r="A50" s="17" t="s">
        <v>165</v>
      </c>
      <c r="B50" s="139" t="s">
        <v>105</v>
      </c>
      <c r="E50" s="125"/>
    </row>
    <row r="51" spans="1:5" x14ac:dyDescent="0.25">
      <c r="A51" s="126" t="s">
        <v>164</v>
      </c>
      <c r="B51" s="140" t="s">
        <v>106</v>
      </c>
      <c r="E51" s="125"/>
    </row>
    <row r="52" spans="1:5" x14ac:dyDescent="0.25">
      <c r="A52" s="126" t="s">
        <v>165</v>
      </c>
      <c r="B52" s="140" t="s">
        <v>125</v>
      </c>
      <c r="E52" s="125"/>
    </row>
    <row r="53" spans="1:5" x14ac:dyDescent="0.25">
      <c r="A53" s="126"/>
      <c r="B53" s="127"/>
      <c r="E53" s="125"/>
    </row>
    <row r="54" spans="1:5" x14ac:dyDescent="0.25">
      <c r="A54" s="126" t="s">
        <v>233</v>
      </c>
      <c r="B54" s="127" t="s">
        <v>136</v>
      </c>
      <c r="C54" s="141"/>
      <c r="E54" s="125"/>
    </row>
    <row r="55" spans="1:5" x14ac:dyDescent="0.25">
      <c r="A55" s="126" t="s">
        <v>233</v>
      </c>
      <c r="B55" s="127" t="s">
        <v>137</v>
      </c>
      <c r="C55" s="141"/>
      <c r="E55" s="125"/>
    </row>
    <row r="56" spans="1:5" x14ac:dyDescent="0.25">
      <c r="A56" s="128"/>
      <c r="B56" s="129"/>
      <c r="E56" s="125"/>
    </row>
    <row r="57" spans="1:5" x14ac:dyDescent="0.25">
      <c r="A57" s="128"/>
      <c r="B57" s="129"/>
      <c r="E57" s="125"/>
    </row>
    <row r="58" spans="1:5" x14ac:dyDescent="0.25">
      <c r="A58" s="128"/>
      <c r="B58" s="129"/>
      <c r="E58" s="125"/>
    </row>
    <row r="59" spans="1:5" x14ac:dyDescent="0.25">
      <c r="A59" s="128"/>
      <c r="B59" s="129"/>
      <c r="E59" s="125"/>
    </row>
    <row r="60" spans="1:5" x14ac:dyDescent="0.25">
      <c r="A60" s="128"/>
      <c r="B60" s="129"/>
      <c r="E60" s="125"/>
    </row>
    <row r="61" spans="1:5" x14ac:dyDescent="0.25">
      <c r="A61" s="128"/>
      <c r="B61" s="129"/>
      <c r="E61" s="125"/>
    </row>
    <row r="62" spans="1:5" x14ac:dyDescent="0.25">
      <c r="A62" s="128"/>
      <c r="B62" s="129"/>
      <c r="E62" s="125"/>
    </row>
    <row r="63" spans="1:5" x14ac:dyDescent="0.25">
      <c r="A63" s="128"/>
      <c r="B63" s="129"/>
      <c r="E63" s="125"/>
    </row>
    <row r="64" spans="1:5" x14ac:dyDescent="0.25">
      <c r="A64" s="128"/>
      <c r="B64" s="129"/>
      <c r="E64" s="125"/>
    </row>
    <row r="65" spans="1:5" x14ac:dyDescent="0.25">
      <c r="A65" s="128"/>
      <c r="B65" s="129"/>
      <c r="E65" s="125"/>
    </row>
    <row r="66" spans="1:5" x14ac:dyDescent="0.25">
      <c r="A66" s="128"/>
      <c r="B66" s="129"/>
      <c r="E66" s="125"/>
    </row>
    <row r="67" spans="1:5" x14ac:dyDescent="0.25">
      <c r="A67" s="128"/>
      <c r="B67" s="129"/>
      <c r="E67" s="125"/>
    </row>
    <row r="68" spans="1:5" x14ac:dyDescent="0.25">
      <c r="A68" s="128"/>
      <c r="B68" s="129"/>
    </row>
    <row r="69" spans="1:5" x14ac:dyDescent="0.25">
      <c r="A69" s="128"/>
      <c r="B69" s="129"/>
    </row>
    <row r="70" spans="1:5" x14ac:dyDescent="0.25">
      <c r="A70" s="130"/>
      <c r="B70" s="131"/>
    </row>
  </sheetData>
  <mergeCells count="8">
    <mergeCell ref="A27:A33"/>
    <mergeCell ref="A34:A40"/>
    <mergeCell ref="A41:A47"/>
    <mergeCell ref="A1:I3"/>
    <mergeCell ref="A4:B4"/>
    <mergeCell ref="A6:A12"/>
    <mergeCell ref="A13:A19"/>
    <mergeCell ref="A20:A26"/>
  </mergeCells>
  <conditionalFormatting sqref="D6:Y6">
    <cfRule type="containsText" dxfId="180" priority="17" operator="containsText" text=" Анікєєв">
      <formula>NOT(ISERROR(SEARCH(" Анікєєв",D6)))</formula>
    </cfRule>
  </conditionalFormatting>
  <conditionalFormatting sqref="D7:X7">
    <cfRule type="containsText" dxfId="179" priority="16" operator="containsText" text=" Анікєєв">
      <formula>NOT(ISERROR(SEARCH(" Анікєєв",D7)))</formula>
    </cfRule>
  </conditionalFormatting>
  <conditionalFormatting sqref="D8:X8">
    <cfRule type="containsText" dxfId="178" priority="15" operator="containsText" text=" Анікєєв">
      <formula>NOT(ISERROR(SEARCH(" Анікєєв",D8)))</formula>
    </cfRule>
  </conditionalFormatting>
  <conditionalFormatting sqref="D9:X9">
    <cfRule type="containsText" dxfId="177" priority="14" operator="containsText" text=" Анікєєв">
      <formula>NOT(ISERROR(SEARCH(" Анікєєв",D9)))</formula>
    </cfRule>
  </conditionalFormatting>
  <conditionalFormatting sqref="D10:X11">
    <cfRule type="containsText" dxfId="176" priority="13" operator="containsText" text=" Анікєєв">
      <formula>NOT(ISERROR(SEARCH(" Анікєєв",D10)))</formula>
    </cfRule>
  </conditionalFormatting>
  <conditionalFormatting sqref="D12:X12">
    <cfRule type="containsText" dxfId="175" priority="12" operator="containsText" text=" Анікєєв">
      <formula>NOT(ISERROR(SEARCH(" Анікєєв",D12)))</formula>
    </cfRule>
  </conditionalFormatting>
  <conditionalFormatting sqref="D16 D17:X19 M16:X16 D13:X15">
    <cfRule type="containsText" dxfId="174" priority="11" operator="containsText" text=" Анікєєв">
      <formula>NOT(ISERROR(SEARCH(" Анікєєв",D13)))</formula>
    </cfRule>
  </conditionalFormatting>
  <conditionalFormatting sqref="D20:X25">
    <cfRule type="containsText" dxfId="173" priority="10" operator="containsText" text=" Анікєєв">
      <formula>NOT(ISERROR(SEARCH(" Анікєєв",D20)))</formula>
    </cfRule>
  </conditionalFormatting>
  <conditionalFormatting sqref="D32:X32 E31:X31 D27:G28 M27:X28 M30:X30 D29:X29">
    <cfRule type="containsText" dxfId="172" priority="9" operator="containsText" text=" Анікєєв">
      <formula>NOT(ISERROR(SEARCH(" Анікєєв",D27)))</formula>
    </cfRule>
  </conditionalFormatting>
  <conditionalFormatting sqref="D34:X34">
    <cfRule type="containsText" dxfId="171" priority="8" operator="containsText" text=" Анікєєв">
      <formula>NOT(ISERROR(SEARCH(" Анікєєв",D34)))</formula>
    </cfRule>
  </conditionalFormatting>
  <conditionalFormatting sqref="D33:X33">
    <cfRule type="containsText" dxfId="170" priority="7" operator="containsText" text=" Анікєєв">
      <formula>NOT(ISERROR(SEARCH(" Анікєєв",D33)))</formula>
    </cfRule>
  </conditionalFormatting>
  <conditionalFormatting sqref="C34:C40">
    <cfRule type="containsText" dxfId="169" priority="6" operator="containsText" text=" Анікєєв">
      <formula>NOT(ISERROR(SEARCH(" Анікєєв",C34)))</formula>
    </cfRule>
  </conditionalFormatting>
  <conditionalFormatting sqref="B41:Y41">
    <cfRule type="containsText" dxfId="168" priority="5" operator="containsText" text=" Анікєєв">
      <formula>NOT(ISERROR(SEARCH(" Анікєєв",B41)))</formula>
    </cfRule>
  </conditionalFormatting>
  <conditionalFormatting sqref="C31:D31">
    <cfRule type="containsText" dxfId="167" priority="3" operator="containsText" text=" Анікєєв">
      <formula>NOT(ISERROR(SEARCH(" Анікєєв",C31)))</formula>
    </cfRule>
  </conditionalFormatting>
  <conditionalFormatting sqref="H27:I28">
    <cfRule type="containsText" dxfId="166" priority="2" operator="containsText" text=" Анікєєв">
      <formula>NOT(ISERROR(SEARCH(" Анікєєв",H27)))</formula>
    </cfRule>
  </conditionalFormatting>
  <conditionalFormatting sqref="J27:L28">
    <cfRule type="containsText" dxfId="165" priority="1" operator="containsText" text=" Анікєєв">
      <formula>NOT(ISERROR(SEARCH(" Анікєєв",J27)))</formula>
    </cfRule>
  </conditionalFormatting>
  <pageMargins left="0.70866141732283472" right="0.70866141732283472" top="0.74803149606299213" bottom="0.74803149606299213" header="0.31496062992125984" footer="0.31496062992125984"/>
  <pageSetup paperSize="9" scale="41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1:Y70"/>
  <sheetViews>
    <sheetView zoomScale="80" zoomScaleNormal="80" workbookViewId="0">
      <pane xSplit="6" ySplit="5" topLeftCell="G15" activePane="bottomRight" state="frozenSplit"/>
      <selection pane="topRight" activeCell="K1" sqref="K1"/>
      <selection pane="bottomLeft" activeCell="A26" sqref="A26"/>
      <selection pane="bottomRight" activeCell="J40" sqref="J40"/>
    </sheetView>
  </sheetViews>
  <sheetFormatPr defaultRowHeight="15" x14ac:dyDescent="0.25"/>
  <cols>
    <col min="1" max="1" width="21.7109375" customWidth="1"/>
    <col min="2" max="2" width="11.85546875" customWidth="1"/>
    <col min="3" max="6" width="24.28515625" hidden="1" customWidth="1"/>
    <col min="7" max="11" width="24.28515625" bestFit="1" customWidth="1"/>
    <col min="12" max="13" width="25" bestFit="1" customWidth="1"/>
    <col min="14" max="19" width="24.28515625" bestFit="1" customWidth="1"/>
    <col min="20" max="21" width="25" bestFit="1" customWidth="1"/>
    <col min="22" max="22" width="25" customWidth="1"/>
    <col min="23" max="23" width="25" bestFit="1" customWidth="1"/>
    <col min="24" max="24" width="25" customWidth="1"/>
    <col min="25" max="25" width="25" bestFit="1" customWidth="1"/>
  </cols>
  <sheetData>
    <row r="1" spans="1:25" ht="15" customHeight="1" x14ac:dyDescent="0.25">
      <c r="A1" s="189" t="s">
        <v>197</v>
      </c>
      <c r="B1" s="189"/>
      <c r="C1" s="189"/>
      <c r="D1" s="189"/>
      <c r="E1" s="189"/>
      <c r="F1" s="189"/>
      <c r="G1" s="189"/>
      <c r="H1" s="189"/>
      <c r="I1" s="189"/>
      <c r="J1" s="9"/>
      <c r="K1" s="9"/>
      <c r="L1" s="9"/>
      <c r="M1" s="9"/>
      <c r="N1" s="9"/>
      <c r="O1" s="9"/>
      <c r="P1" s="9"/>
      <c r="Q1" s="9"/>
      <c r="R1" s="9"/>
    </row>
    <row r="2" spans="1:25" x14ac:dyDescent="0.25">
      <c r="A2" s="189"/>
      <c r="B2" s="189"/>
      <c r="C2" s="189"/>
      <c r="D2" s="189"/>
      <c r="E2" s="189"/>
      <c r="F2" s="189"/>
      <c r="G2" s="189"/>
      <c r="H2" s="189"/>
      <c r="I2" s="189"/>
      <c r="J2" s="9"/>
      <c r="K2" s="9"/>
      <c r="L2" s="9"/>
      <c r="M2" s="9"/>
      <c r="N2" s="9"/>
      <c r="O2" s="9"/>
      <c r="P2" s="9"/>
      <c r="Q2" s="9"/>
      <c r="R2" s="9"/>
    </row>
    <row r="3" spans="1:25" ht="15.75" thickBot="1" x14ac:dyDescent="0.3">
      <c r="A3" s="190"/>
      <c r="B3" s="190"/>
      <c r="C3" s="190"/>
      <c r="D3" s="190"/>
      <c r="E3" s="190"/>
      <c r="F3" s="190"/>
      <c r="G3" s="190"/>
      <c r="H3" s="190"/>
      <c r="I3" s="190"/>
      <c r="J3" s="9"/>
      <c r="K3" s="9"/>
      <c r="L3" s="9"/>
      <c r="M3" s="9"/>
      <c r="N3" s="9"/>
      <c r="O3" s="9"/>
      <c r="P3" s="9"/>
      <c r="Q3" s="9"/>
      <c r="R3" s="9"/>
    </row>
    <row r="4" spans="1:25" s="113" customFormat="1" ht="22.5" thickTop="1" thickBot="1" x14ac:dyDescent="0.35">
      <c r="A4" s="191" t="s">
        <v>13</v>
      </c>
      <c r="B4" s="192"/>
      <c r="C4" s="1">
        <v>1</v>
      </c>
      <c r="D4" s="1">
        <v>2</v>
      </c>
      <c r="E4" s="1">
        <v>3</v>
      </c>
      <c r="F4" s="1">
        <v>4</v>
      </c>
      <c r="G4" s="1">
        <v>5</v>
      </c>
      <c r="H4" s="1">
        <v>6</v>
      </c>
      <c r="I4" s="1">
        <v>7</v>
      </c>
      <c r="J4" s="1">
        <v>8</v>
      </c>
      <c r="K4" s="1">
        <v>9</v>
      </c>
      <c r="L4" s="1">
        <v>10</v>
      </c>
      <c r="M4" s="1">
        <v>11</v>
      </c>
      <c r="N4" s="1">
        <v>12</v>
      </c>
      <c r="O4" s="1">
        <v>13</v>
      </c>
      <c r="P4" s="1">
        <v>14</v>
      </c>
      <c r="Q4" s="1">
        <v>15</v>
      </c>
      <c r="R4" s="1">
        <v>16</v>
      </c>
      <c r="S4" s="1">
        <v>17</v>
      </c>
      <c r="T4" s="112">
        <v>18</v>
      </c>
      <c r="U4" s="112">
        <v>19</v>
      </c>
      <c r="V4" s="112">
        <v>20</v>
      </c>
      <c r="W4" s="112">
        <v>21</v>
      </c>
      <c r="X4" s="112">
        <v>22</v>
      </c>
      <c r="Y4" s="112">
        <v>23</v>
      </c>
    </row>
    <row r="5" spans="1:25" ht="21.75" thickTop="1" thickBot="1" x14ac:dyDescent="0.35">
      <c r="A5" s="2" t="s">
        <v>0</v>
      </c>
      <c r="B5" s="3" t="s">
        <v>1</v>
      </c>
      <c r="C5" s="4" t="s">
        <v>49</v>
      </c>
      <c r="D5" s="4" t="s">
        <v>50</v>
      </c>
      <c r="E5" s="4" t="s">
        <v>51</v>
      </c>
      <c r="F5" s="4" t="s">
        <v>52</v>
      </c>
      <c r="G5" s="4" t="s">
        <v>48</v>
      </c>
      <c r="H5" s="4" t="s">
        <v>47</v>
      </c>
      <c r="I5" s="4" t="s">
        <v>46</v>
      </c>
      <c r="J5" s="4" t="s">
        <v>45</v>
      </c>
      <c r="K5" s="4" t="s">
        <v>53</v>
      </c>
      <c r="L5" s="4" t="s">
        <v>54</v>
      </c>
      <c r="M5" s="4" t="s">
        <v>61</v>
      </c>
      <c r="N5" s="4" t="s">
        <v>60</v>
      </c>
      <c r="O5" s="4" t="s">
        <v>59</v>
      </c>
      <c r="P5" s="4" t="s">
        <v>58</v>
      </c>
      <c r="Q5" s="4" t="s">
        <v>57</v>
      </c>
      <c r="R5" s="4" t="s">
        <v>56</v>
      </c>
      <c r="S5" s="4" t="s">
        <v>55</v>
      </c>
      <c r="T5" s="114"/>
      <c r="U5" s="114"/>
      <c r="V5" s="114"/>
      <c r="W5" s="114"/>
      <c r="X5" s="114"/>
      <c r="Y5" s="114"/>
    </row>
    <row r="6" spans="1:25" s="8" customFormat="1" ht="16.149999999999999" customHeight="1" thickTop="1" thickBot="1" x14ac:dyDescent="0.3">
      <c r="A6" s="193" t="s">
        <v>2</v>
      </c>
      <c r="B6" s="115" t="s">
        <v>10</v>
      </c>
      <c r="C6" s="65"/>
      <c r="D6" s="66"/>
      <c r="E6" s="66"/>
      <c r="F6" s="66"/>
      <c r="G6" s="66"/>
      <c r="H6" s="66"/>
      <c r="I6" s="66"/>
      <c r="J6" s="95"/>
      <c r="K6" s="95"/>
      <c r="L6" s="95"/>
      <c r="M6" s="66"/>
      <c r="N6" s="66"/>
      <c r="O6" s="66"/>
      <c r="P6" s="66"/>
      <c r="Q6" s="66"/>
      <c r="R6" s="66"/>
      <c r="S6" s="66"/>
      <c r="T6" s="67"/>
      <c r="U6" s="67"/>
      <c r="V6" s="67"/>
      <c r="W6" s="67"/>
      <c r="X6" s="67"/>
      <c r="Y6" s="67"/>
    </row>
    <row r="7" spans="1:25" s="8" customFormat="1" ht="16.149999999999999" customHeight="1" thickTop="1" thickBot="1" x14ac:dyDescent="0.3">
      <c r="A7" s="193"/>
      <c r="B7" s="116" t="s">
        <v>11</v>
      </c>
      <c r="C7" s="68"/>
      <c r="D7" s="69"/>
      <c r="E7" s="69"/>
      <c r="F7" s="69"/>
      <c r="G7" s="69"/>
      <c r="H7" s="69"/>
      <c r="I7" s="69"/>
      <c r="J7" s="72" t="s">
        <v>306</v>
      </c>
      <c r="K7" s="72" t="s">
        <v>306</v>
      </c>
      <c r="L7" s="72" t="s">
        <v>306</v>
      </c>
      <c r="M7" s="69"/>
      <c r="N7" s="69"/>
      <c r="O7" s="69"/>
      <c r="P7" s="69"/>
      <c r="Q7" s="69"/>
      <c r="R7" s="69"/>
      <c r="S7" s="69"/>
      <c r="T7" s="70"/>
      <c r="U7" s="70"/>
      <c r="V7" s="70"/>
      <c r="W7" s="70"/>
      <c r="X7" s="70"/>
      <c r="Y7" s="71"/>
    </row>
    <row r="8" spans="1:25" s="8" customFormat="1" ht="16.149999999999999" customHeight="1" thickTop="1" thickBot="1" x14ac:dyDescent="0.3">
      <c r="A8" s="193"/>
      <c r="B8" s="116" t="s">
        <v>12</v>
      </c>
      <c r="C8" s="68"/>
      <c r="D8" s="72"/>
      <c r="E8" s="72"/>
      <c r="F8" s="72"/>
      <c r="G8" s="72"/>
      <c r="H8" s="72" t="s">
        <v>306</v>
      </c>
      <c r="I8" s="72" t="s">
        <v>306</v>
      </c>
      <c r="J8" s="72" t="s">
        <v>306</v>
      </c>
      <c r="K8" s="72" t="s">
        <v>306</v>
      </c>
      <c r="L8" s="72" t="s">
        <v>306</v>
      </c>
      <c r="M8" s="72"/>
      <c r="N8" s="72"/>
      <c r="O8" s="72"/>
      <c r="P8" s="72"/>
      <c r="Q8" s="72"/>
      <c r="R8" s="72"/>
      <c r="S8" s="72"/>
      <c r="T8" s="73"/>
      <c r="U8" s="73"/>
      <c r="V8" s="73"/>
      <c r="W8" s="73"/>
      <c r="X8" s="73"/>
      <c r="Y8" s="71"/>
    </row>
    <row r="9" spans="1:25" s="8" customFormat="1" ht="16.149999999999999" customHeight="1" thickTop="1" thickBot="1" x14ac:dyDescent="0.3">
      <c r="A9" s="193"/>
      <c r="B9" s="116" t="s">
        <v>7</v>
      </c>
      <c r="C9" s="68"/>
      <c r="D9" s="72"/>
      <c r="E9" s="72"/>
      <c r="F9" s="72"/>
      <c r="G9" s="72"/>
      <c r="H9" s="72" t="s">
        <v>306</v>
      </c>
      <c r="I9" s="72" t="s">
        <v>306</v>
      </c>
      <c r="J9" s="72"/>
      <c r="K9" s="72"/>
      <c r="L9" s="72"/>
      <c r="M9" s="72"/>
      <c r="N9" s="72"/>
      <c r="O9" s="72"/>
      <c r="P9" s="72"/>
      <c r="Q9" s="72"/>
      <c r="R9" s="72"/>
      <c r="S9" s="72"/>
      <c r="T9" s="73"/>
      <c r="U9" s="73"/>
      <c r="V9" s="73"/>
      <c r="W9" s="73"/>
      <c r="X9" s="73"/>
      <c r="Y9" s="71"/>
    </row>
    <row r="10" spans="1:25" s="8" customFormat="1" ht="16.149999999999999" customHeight="1" thickTop="1" thickBot="1" x14ac:dyDescent="0.3">
      <c r="A10" s="193"/>
      <c r="B10" s="116" t="s">
        <v>8</v>
      </c>
      <c r="C10" s="68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3"/>
      <c r="U10" s="73"/>
      <c r="V10" s="73"/>
      <c r="W10" s="73"/>
      <c r="X10" s="73"/>
      <c r="Y10" s="71"/>
    </row>
    <row r="11" spans="1:25" s="8" customFormat="1" ht="16.149999999999999" customHeight="1" thickTop="1" thickBot="1" x14ac:dyDescent="0.3">
      <c r="A11" s="193"/>
      <c r="B11" s="117" t="s">
        <v>9</v>
      </c>
      <c r="C11" s="74"/>
      <c r="D11" s="75"/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6"/>
      <c r="U11" s="76"/>
      <c r="V11" s="76"/>
      <c r="W11" s="76"/>
      <c r="X11" s="76"/>
      <c r="Y11" s="77"/>
    </row>
    <row r="12" spans="1:25" s="11" customFormat="1" ht="16.149999999999999" customHeight="1" thickTop="1" thickBot="1" x14ac:dyDescent="0.3">
      <c r="A12" s="193"/>
      <c r="B12" s="118" t="s">
        <v>14</v>
      </c>
      <c r="C12" s="78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80"/>
      <c r="U12" s="80"/>
      <c r="V12" s="80"/>
      <c r="W12" s="80"/>
      <c r="X12" s="80"/>
      <c r="Y12" s="81"/>
    </row>
    <row r="13" spans="1:25" s="11" customFormat="1" ht="16.149999999999999" customHeight="1" thickTop="1" thickBot="1" x14ac:dyDescent="0.3">
      <c r="A13" s="194" t="s">
        <v>3</v>
      </c>
      <c r="B13" s="97" t="s">
        <v>10</v>
      </c>
      <c r="C13" s="82"/>
      <c r="D13" s="83"/>
      <c r="E13" s="83"/>
      <c r="F13" s="83"/>
      <c r="G13" s="83"/>
      <c r="H13" s="83"/>
      <c r="I13" s="83"/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4"/>
      <c r="U13" s="84"/>
      <c r="V13" s="84"/>
      <c r="W13" s="84"/>
      <c r="X13" s="84"/>
      <c r="Y13" s="85"/>
    </row>
    <row r="14" spans="1:25" s="11" customFormat="1" ht="16.5" thickTop="1" thickBot="1" x14ac:dyDescent="0.3">
      <c r="A14" s="194"/>
      <c r="B14" s="119" t="s">
        <v>11</v>
      </c>
      <c r="C14" s="86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8"/>
      <c r="U14" s="88"/>
      <c r="V14" s="88"/>
      <c r="W14" s="88"/>
      <c r="X14" s="88"/>
      <c r="Y14" s="71"/>
    </row>
    <row r="15" spans="1:25" s="11" customFormat="1" ht="31.5" thickTop="1" thickBot="1" x14ac:dyDescent="0.3">
      <c r="A15" s="194"/>
      <c r="B15" s="119" t="s">
        <v>12</v>
      </c>
      <c r="C15" s="90" t="s">
        <v>168</v>
      </c>
      <c r="D15" s="90" t="s">
        <v>192</v>
      </c>
      <c r="E15" s="90" t="s">
        <v>168</v>
      </c>
      <c r="F15" s="90" t="s">
        <v>168</v>
      </c>
      <c r="G15" s="90" t="s">
        <v>168</v>
      </c>
      <c r="H15" s="90" t="s">
        <v>168</v>
      </c>
      <c r="I15" s="90" t="s">
        <v>168</v>
      </c>
      <c r="J15" s="90" t="s">
        <v>168</v>
      </c>
      <c r="K15" s="90" t="s">
        <v>168</v>
      </c>
      <c r="L15" s="90"/>
      <c r="M15" s="90"/>
      <c r="N15" s="90"/>
      <c r="O15" s="90"/>
      <c r="P15" s="90"/>
      <c r="Q15" s="90"/>
      <c r="R15" s="90"/>
      <c r="S15" s="90"/>
      <c r="T15" s="73"/>
      <c r="U15" s="73"/>
      <c r="V15" s="73"/>
      <c r="W15" s="73"/>
      <c r="X15" s="73"/>
      <c r="Y15" s="71"/>
    </row>
    <row r="16" spans="1:25" s="11" customFormat="1" ht="16.149999999999999" customHeight="1" thickTop="1" thickBot="1" x14ac:dyDescent="0.3">
      <c r="A16" s="194"/>
      <c r="B16" s="119" t="s">
        <v>7</v>
      </c>
      <c r="C16" s="86"/>
      <c r="D16" s="87"/>
      <c r="E16" s="86" t="s">
        <v>114</v>
      </c>
      <c r="F16" s="86" t="s">
        <v>114</v>
      </c>
      <c r="G16" s="86" t="s">
        <v>114</v>
      </c>
      <c r="H16" s="86" t="s">
        <v>114</v>
      </c>
      <c r="I16" s="86" t="s">
        <v>114</v>
      </c>
      <c r="J16" s="86" t="s">
        <v>114</v>
      </c>
      <c r="K16" s="86" t="s">
        <v>114</v>
      </c>
      <c r="L16" s="86" t="s">
        <v>114</v>
      </c>
      <c r="M16" s="87"/>
      <c r="N16" s="87"/>
      <c r="O16" s="87"/>
      <c r="P16" s="87"/>
      <c r="Q16" s="87"/>
      <c r="R16" s="87"/>
      <c r="S16" s="87"/>
      <c r="T16" s="88"/>
      <c r="U16" s="88"/>
      <c r="V16" s="88"/>
      <c r="W16" s="88"/>
      <c r="X16" s="88"/>
      <c r="Y16" s="71"/>
    </row>
    <row r="17" spans="1:25" s="11" customFormat="1" ht="16.149999999999999" customHeight="1" thickTop="1" thickBot="1" x14ac:dyDescent="0.3">
      <c r="A17" s="194"/>
      <c r="B17" s="119" t="s">
        <v>8</v>
      </c>
      <c r="C17" s="86"/>
      <c r="D17" s="87"/>
      <c r="E17" s="87"/>
      <c r="F17" s="87"/>
      <c r="G17" s="87"/>
      <c r="H17" s="87"/>
      <c r="I17" s="87" t="s">
        <v>293</v>
      </c>
      <c r="J17" s="87" t="s">
        <v>293</v>
      </c>
      <c r="K17" s="87"/>
      <c r="L17" s="87"/>
      <c r="M17" s="87"/>
      <c r="N17" s="87"/>
      <c r="O17" s="87"/>
      <c r="P17" s="87"/>
      <c r="Q17" s="87"/>
      <c r="R17" s="87"/>
      <c r="S17" s="87"/>
      <c r="T17" s="88"/>
      <c r="U17" s="88"/>
      <c r="V17" s="88"/>
      <c r="W17" s="88"/>
      <c r="X17" s="88"/>
      <c r="Y17" s="71"/>
    </row>
    <row r="18" spans="1:25" s="8" customFormat="1" ht="16.149999999999999" customHeight="1" thickTop="1" thickBot="1" x14ac:dyDescent="0.3">
      <c r="A18" s="194"/>
      <c r="B18" s="120" t="s">
        <v>9</v>
      </c>
      <c r="C18" s="86"/>
      <c r="D18" s="91"/>
      <c r="E18" s="91"/>
      <c r="F18" s="91"/>
      <c r="G18" s="91"/>
      <c r="H18" s="91"/>
      <c r="I18" s="87"/>
      <c r="J18" s="87" t="s">
        <v>293</v>
      </c>
      <c r="K18" s="91"/>
      <c r="L18" s="87"/>
      <c r="M18" s="91"/>
      <c r="N18" s="91"/>
      <c r="O18" s="91"/>
      <c r="P18" s="91"/>
      <c r="Q18" s="91"/>
      <c r="R18" s="91"/>
      <c r="S18" s="91"/>
      <c r="T18" s="92"/>
      <c r="U18" s="92"/>
      <c r="V18" s="92"/>
      <c r="W18" s="92"/>
      <c r="X18" s="92"/>
      <c r="Y18" s="77"/>
    </row>
    <row r="19" spans="1:25" s="8" customFormat="1" ht="16.149999999999999" customHeight="1" thickTop="1" thickBot="1" x14ac:dyDescent="0.3">
      <c r="A19" s="194"/>
      <c r="B19" s="121" t="s">
        <v>14</v>
      </c>
      <c r="C19" s="93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80"/>
      <c r="U19" s="80"/>
      <c r="V19" s="80"/>
      <c r="W19" s="80"/>
      <c r="X19" s="80"/>
      <c r="Y19" s="81"/>
    </row>
    <row r="20" spans="1:25" s="8" customFormat="1" ht="16.149999999999999" customHeight="1" thickTop="1" thickBot="1" x14ac:dyDescent="0.3">
      <c r="A20" s="193" t="s">
        <v>4</v>
      </c>
      <c r="B20" s="115" t="s">
        <v>10</v>
      </c>
      <c r="C20" s="65"/>
      <c r="D20" s="95"/>
      <c r="E20" s="95"/>
      <c r="F20" s="95"/>
      <c r="G20" s="95" t="s">
        <v>277</v>
      </c>
      <c r="H20" s="95" t="s">
        <v>277</v>
      </c>
      <c r="I20" s="95" t="s">
        <v>277</v>
      </c>
      <c r="J20" s="95" t="s">
        <v>340</v>
      </c>
      <c r="K20" s="95" t="s">
        <v>340</v>
      </c>
      <c r="L20" s="95" t="s">
        <v>340</v>
      </c>
      <c r="M20" s="95" t="s">
        <v>340</v>
      </c>
      <c r="N20" s="95"/>
      <c r="O20" s="95"/>
      <c r="P20" s="95"/>
      <c r="Q20" s="95"/>
      <c r="R20" s="95"/>
      <c r="S20" s="95"/>
      <c r="T20" s="84"/>
      <c r="U20" s="84"/>
      <c r="V20" s="84"/>
      <c r="W20" s="84"/>
      <c r="X20" s="84"/>
      <c r="Y20" s="85"/>
    </row>
    <row r="21" spans="1:25" s="8" customFormat="1" ht="16.149999999999999" customHeight="1" thickTop="1" thickBot="1" x14ac:dyDescent="0.3">
      <c r="A21" s="193"/>
      <c r="B21" s="116" t="s">
        <v>11</v>
      </c>
      <c r="C21" s="68"/>
      <c r="D21" s="96"/>
      <c r="E21" s="96"/>
      <c r="F21" s="96"/>
      <c r="G21" s="96" t="s">
        <v>277</v>
      </c>
      <c r="H21" s="96" t="s">
        <v>277</v>
      </c>
      <c r="I21" s="96" t="s">
        <v>277</v>
      </c>
      <c r="J21" s="96" t="s">
        <v>340</v>
      </c>
      <c r="K21" s="96" t="s">
        <v>340</v>
      </c>
      <c r="L21" s="96" t="s">
        <v>340</v>
      </c>
      <c r="M21" s="96" t="s">
        <v>340</v>
      </c>
      <c r="N21" s="96"/>
      <c r="O21" s="96"/>
      <c r="P21" s="96"/>
      <c r="Q21" s="96"/>
      <c r="R21" s="96"/>
      <c r="S21" s="96"/>
      <c r="T21" s="88"/>
      <c r="U21" s="88"/>
      <c r="V21" s="88"/>
      <c r="W21" s="88"/>
      <c r="X21" s="88"/>
      <c r="Y21" s="71"/>
    </row>
    <row r="22" spans="1:25" s="8" customFormat="1" ht="16.149999999999999" customHeight="1" thickTop="1" thickBot="1" x14ac:dyDescent="0.3">
      <c r="A22" s="193"/>
      <c r="B22" s="116" t="s">
        <v>12</v>
      </c>
      <c r="C22" s="68"/>
      <c r="D22" s="96"/>
      <c r="E22" s="96"/>
      <c r="F22" s="96"/>
      <c r="G22" s="96"/>
      <c r="H22" s="96" t="s">
        <v>293</v>
      </c>
      <c r="I22" s="96"/>
      <c r="K22" s="96"/>
      <c r="L22" s="96"/>
      <c r="M22" s="96"/>
      <c r="N22" s="96"/>
      <c r="O22" s="96"/>
      <c r="P22" s="96"/>
      <c r="Q22" s="96"/>
      <c r="R22" s="96"/>
      <c r="S22" s="96"/>
      <c r="T22" s="88"/>
      <c r="U22" s="88"/>
      <c r="V22" s="88"/>
      <c r="W22" s="88"/>
      <c r="X22" s="88"/>
      <c r="Y22" s="71"/>
    </row>
    <row r="23" spans="1:25" s="8" customFormat="1" ht="16.149999999999999" customHeight="1" thickTop="1" thickBot="1" x14ac:dyDescent="0.3">
      <c r="A23" s="193"/>
      <c r="B23" s="116" t="s">
        <v>7</v>
      </c>
      <c r="C23" s="68"/>
      <c r="D23" s="96"/>
      <c r="E23" s="96"/>
      <c r="F23" s="96"/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88"/>
      <c r="U23" s="88"/>
      <c r="V23" s="88"/>
      <c r="W23" s="88"/>
      <c r="X23" s="88"/>
      <c r="Y23" s="71"/>
    </row>
    <row r="24" spans="1:25" s="8" customFormat="1" ht="16.149999999999999" customHeight="1" thickTop="1" thickBot="1" x14ac:dyDescent="0.3">
      <c r="A24" s="193"/>
      <c r="B24" s="116" t="s">
        <v>8</v>
      </c>
      <c r="C24" s="68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3"/>
      <c r="U24" s="73"/>
      <c r="V24" s="73"/>
      <c r="W24" s="73"/>
      <c r="X24" s="73"/>
      <c r="Y24" s="71"/>
    </row>
    <row r="25" spans="1:25" s="11" customFormat="1" ht="16.149999999999999" customHeight="1" thickTop="1" thickBot="1" x14ac:dyDescent="0.3">
      <c r="A25" s="193"/>
      <c r="B25" s="116" t="s">
        <v>9</v>
      </c>
      <c r="C25" s="68"/>
      <c r="D25" s="96"/>
      <c r="E25" s="96"/>
      <c r="F25" s="96"/>
      <c r="G25" s="96"/>
      <c r="H25" s="96"/>
      <c r="I25" s="96"/>
      <c r="J25" s="96"/>
      <c r="K25" s="96"/>
      <c r="L25" s="96"/>
      <c r="M25" s="96"/>
      <c r="N25" s="96"/>
      <c r="O25" s="96"/>
      <c r="P25" s="96"/>
      <c r="Q25" s="96"/>
      <c r="R25" s="96"/>
      <c r="S25" s="96"/>
      <c r="T25" s="88"/>
      <c r="U25" s="88"/>
      <c r="V25" s="88"/>
      <c r="W25" s="88"/>
      <c r="X25" s="88"/>
      <c r="Y25" s="71"/>
    </row>
    <row r="26" spans="1:25" s="11" customFormat="1" ht="16.149999999999999" customHeight="1" thickTop="1" thickBot="1" x14ac:dyDescent="0.3">
      <c r="A26" s="193"/>
      <c r="B26" s="118" t="s">
        <v>14</v>
      </c>
      <c r="C26" s="78"/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80"/>
      <c r="U26" s="80"/>
      <c r="V26" s="80"/>
      <c r="W26" s="80"/>
      <c r="X26" s="80"/>
      <c r="Y26" s="81"/>
    </row>
    <row r="27" spans="1:25" s="11" customFormat="1" ht="27.6" customHeight="1" thickTop="1" thickBot="1" x14ac:dyDescent="0.3">
      <c r="A27" s="194" t="s">
        <v>5</v>
      </c>
      <c r="B27" s="97" t="s">
        <v>10</v>
      </c>
      <c r="C27" s="97"/>
      <c r="D27" s="147" t="s">
        <v>200</v>
      </c>
      <c r="E27" s="147" t="s">
        <v>200</v>
      </c>
      <c r="F27" s="147" t="s">
        <v>200</v>
      </c>
      <c r="G27" s="147" t="s">
        <v>200</v>
      </c>
      <c r="H27" s="147" t="s">
        <v>294</v>
      </c>
      <c r="I27" s="147" t="s">
        <v>294</v>
      </c>
      <c r="J27" s="147" t="s">
        <v>341</v>
      </c>
      <c r="K27" s="147" t="s">
        <v>341</v>
      </c>
      <c r="L27" s="98"/>
      <c r="M27" s="98"/>
      <c r="N27" s="98"/>
      <c r="O27" s="98"/>
      <c r="P27" s="98"/>
      <c r="Q27" s="98"/>
      <c r="R27" s="98"/>
      <c r="S27" s="98"/>
      <c r="T27" s="67"/>
      <c r="U27" s="67"/>
      <c r="V27" s="67"/>
      <c r="W27" s="67"/>
      <c r="X27" s="67"/>
      <c r="Y27" s="85"/>
    </row>
    <row r="28" spans="1:25" s="11" customFormat="1" ht="31.5" thickTop="1" thickBot="1" x14ac:dyDescent="0.3">
      <c r="A28" s="194"/>
      <c r="B28" s="119" t="s">
        <v>11</v>
      </c>
      <c r="C28" s="86"/>
      <c r="D28" s="90" t="s">
        <v>199</v>
      </c>
      <c r="E28" s="90" t="s">
        <v>199</v>
      </c>
      <c r="F28" s="90" t="s">
        <v>247</v>
      </c>
      <c r="G28" s="90" t="s">
        <v>247</v>
      </c>
      <c r="H28" s="90" t="s">
        <v>295</v>
      </c>
      <c r="I28" s="90" t="s">
        <v>295</v>
      </c>
      <c r="J28" s="90" t="s">
        <v>342</v>
      </c>
      <c r="K28" s="90" t="s">
        <v>341</v>
      </c>
      <c r="L28" s="87"/>
      <c r="M28" s="87"/>
      <c r="N28" s="87"/>
      <c r="O28" s="87"/>
      <c r="P28" s="87"/>
      <c r="Q28" s="87"/>
      <c r="R28" s="87"/>
      <c r="S28" s="87"/>
      <c r="T28" s="88"/>
      <c r="U28" s="88"/>
      <c r="V28" s="88"/>
      <c r="W28" s="88"/>
      <c r="X28" s="88"/>
      <c r="Y28" s="71"/>
    </row>
    <row r="29" spans="1:25" s="11" customFormat="1" ht="61.5" thickTop="1" thickBot="1" x14ac:dyDescent="0.3">
      <c r="A29" s="194"/>
      <c r="B29" s="119" t="s">
        <v>12</v>
      </c>
      <c r="C29" s="89" t="s">
        <v>115</v>
      </c>
      <c r="D29" s="89" t="s">
        <v>248</v>
      </c>
      <c r="E29" s="89" t="s">
        <v>248</v>
      </c>
      <c r="F29" s="89" t="s">
        <v>248</v>
      </c>
      <c r="G29" s="89" t="s">
        <v>248</v>
      </c>
      <c r="H29" s="89" t="s">
        <v>296</v>
      </c>
      <c r="I29" s="89" t="s">
        <v>296</v>
      </c>
      <c r="J29" s="89" t="s">
        <v>343</v>
      </c>
      <c r="K29" s="89" t="s">
        <v>374</v>
      </c>
      <c r="L29" s="89" t="s">
        <v>374</v>
      </c>
      <c r="M29" s="87"/>
      <c r="N29" s="87"/>
      <c r="O29" s="87"/>
      <c r="P29" s="87"/>
      <c r="Q29" s="87"/>
      <c r="R29" s="87"/>
      <c r="S29" s="87"/>
      <c r="T29" s="88"/>
      <c r="U29" s="88"/>
      <c r="V29" s="88"/>
      <c r="W29" s="88"/>
      <c r="X29" s="88"/>
      <c r="Y29" s="71"/>
    </row>
    <row r="30" spans="1:25" s="11" customFormat="1" ht="16.149999999999999" customHeight="1" thickTop="1" thickBot="1" x14ac:dyDescent="0.3">
      <c r="A30" s="194"/>
      <c r="B30" s="119" t="s">
        <v>7</v>
      </c>
      <c r="C30" s="99"/>
      <c r="D30" s="90" t="s">
        <v>249</v>
      </c>
      <c r="E30" s="90" t="s">
        <v>249</v>
      </c>
      <c r="F30" s="90" t="s">
        <v>249</v>
      </c>
      <c r="G30" s="90" t="s">
        <v>249</v>
      </c>
      <c r="H30" s="90" t="s">
        <v>297</v>
      </c>
      <c r="I30" s="90" t="s">
        <v>297</v>
      </c>
      <c r="J30" s="90" t="s">
        <v>344</v>
      </c>
      <c r="K30" s="90"/>
      <c r="L30" s="90"/>
      <c r="M30" s="90"/>
      <c r="N30" s="90"/>
      <c r="O30" s="90"/>
      <c r="P30" s="90"/>
      <c r="Q30" s="90"/>
      <c r="R30" s="90"/>
      <c r="S30" s="90"/>
      <c r="T30" s="73"/>
      <c r="U30" s="73"/>
      <c r="V30" s="73"/>
      <c r="W30" s="73"/>
      <c r="X30" s="73"/>
      <c r="Y30" s="71"/>
    </row>
    <row r="31" spans="1:25" s="11" customFormat="1" ht="31.5" thickTop="1" thickBot="1" x14ac:dyDescent="0.3">
      <c r="A31" s="194"/>
      <c r="B31" s="119" t="s">
        <v>8</v>
      </c>
      <c r="C31" s="90" t="s">
        <v>194</v>
      </c>
      <c r="D31" s="90" t="s">
        <v>194</v>
      </c>
      <c r="E31" s="90" t="s">
        <v>194</v>
      </c>
      <c r="F31" s="90" t="s">
        <v>250</v>
      </c>
      <c r="G31" s="90" t="s">
        <v>194</v>
      </c>
      <c r="H31" s="90" t="s">
        <v>307</v>
      </c>
      <c r="I31" s="90" t="s">
        <v>307</v>
      </c>
      <c r="J31" s="90" t="s">
        <v>345</v>
      </c>
      <c r="K31" s="90" t="s">
        <v>345</v>
      </c>
      <c r="L31" s="90" t="s">
        <v>345</v>
      </c>
      <c r="M31" s="90" t="s">
        <v>345</v>
      </c>
      <c r="N31" s="90" t="s">
        <v>345</v>
      </c>
      <c r="O31" s="90" t="s">
        <v>345</v>
      </c>
      <c r="P31" s="90" t="s">
        <v>345</v>
      </c>
      <c r="Q31" s="90" t="s">
        <v>345</v>
      </c>
      <c r="R31" s="90"/>
      <c r="S31" s="90"/>
      <c r="T31" s="73"/>
      <c r="U31" s="73"/>
      <c r="V31" s="73"/>
      <c r="W31" s="73"/>
      <c r="X31" s="73"/>
      <c r="Y31" s="100"/>
    </row>
    <row r="32" spans="1:25" s="8" customFormat="1" ht="16.149999999999999" customHeight="1" thickTop="1" thickBot="1" x14ac:dyDescent="0.3">
      <c r="A32" s="194"/>
      <c r="B32" s="120" t="s">
        <v>9</v>
      </c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73"/>
      <c r="U32" s="73"/>
      <c r="V32" s="73"/>
      <c r="W32" s="73"/>
      <c r="X32" s="73"/>
      <c r="Y32" s="101"/>
    </row>
    <row r="33" spans="1:25" s="8" customFormat="1" ht="16.5" thickTop="1" thickBot="1" x14ac:dyDescent="0.3">
      <c r="A33" s="194"/>
      <c r="B33" s="121" t="s">
        <v>14</v>
      </c>
      <c r="C33" s="90"/>
      <c r="D33" s="87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88"/>
      <c r="U33" s="88"/>
      <c r="V33" s="88"/>
      <c r="W33" s="88"/>
      <c r="X33" s="88"/>
      <c r="Y33" s="81"/>
    </row>
    <row r="34" spans="1:25" s="8" customFormat="1" ht="16.149999999999999" customHeight="1" thickTop="1" thickBot="1" x14ac:dyDescent="0.3">
      <c r="A34" s="188" t="s">
        <v>6</v>
      </c>
      <c r="B34" s="115" t="s">
        <v>10</v>
      </c>
      <c r="C34" s="95"/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84"/>
      <c r="U34" s="84"/>
      <c r="V34" s="84"/>
      <c r="W34" s="84"/>
      <c r="X34" s="84"/>
      <c r="Y34" s="85"/>
    </row>
    <row r="35" spans="1:25" s="8" customFormat="1" ht="16.149999999999999" customHeight="1" thickTop="1" thickBot="1" x14ac:dyDescent="0.3">
      <c r="A35" s="188"/>
      <c r="B35" s="116" t="s">
        <v>11</v>
      </c>
      <c r="C35" s="96"/>
      <c r="D35" s="96"/>
      <c r="E35" s="96"/>
      <c r="F35" s="96"/>
      <c r="G35" s="96"/>
      <c r="H35" s="96"/>
      <c r="I35" s="96"/>
      <c r="J35" s="96"/>
      <c r="K35" s="96"/>
      <c r="L35" s="96"/>
      <c r="M35" s="96"/>
      <c r="N35" s="96"/>
      <c r="O35" s="96"/>
      <c r="P35" s="96"/>
      <c r="Q35" s="96"/>
      <c r="R35" s="96"/>
      <c r="S35" s="96"/>
      <c r="T35" s="88"/>
      <c r="U35" s="88"/>
      <c r="V35" s="88"/>
      <c r="W35" s="88"/>
      <c r="X35" s="88"/>
      <c r="Y35" s="71"/>
    </row>
    <row r="36" spans="1:25" s="8" customFormat="1" ht="16.149999999999999" customHeight="1" thickTop="1" thickBot="1" x14ac:dyDescent="0.3">
      <c r="A36" s="188"/>
      <c r="B36" s="116" t="s">
        <v>12</v>
      </c>
      <c r="C36" s="96" t="s">
        <v>168</v>
      </c>
      <c r="D36" s="96" t="s">
        <v>168</v>
      </c>
      <c r="E36" s="96" t="s">
        <v>168</v>
      </c>
      <c r="F36" s="96" t="s">
        <v>168</v>
      </c>
      <c r="G36" s="96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69"/>
      <c r="S36" s="69"/>
      <c r="T36" s="70"/>
      <c r="U36" s="70"/>
      <c r="V36" s="70"/>
      <c r="W36" s="70"/>
      <c r="X36" s="70"/>
      <c r="Y36" s="71"/>
    </row>
    <row r="37" spans="1:25" ht="16.149999999999999" customHeight="1" thickTop="1" thickBot="1" x14ac:dyDescent="0.3">
      <c r="A37" s="188"/>
      <c r="B37" s="116" t="s">
        <v>7</v>
      </c>
      <c r="C37" s="72" t="s">
        <v>194</v>
      </c>
      <c r="D37" s="72" t="s">
        <v>194</v>
      </c>
      <c r="E37" s="72" t="s">
        <v>194</v>
      </c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3"/>
      <c r="U37" s="73"/>
      <c r="V37" s="73"/>
      <c r="W37" s="73"/>
      <c r="X37" s="73"/>
      <c r="Y37" s="100"/>
    </row>
    <row r="38" spans="1:25" ht="16.149999999999999" customHeight="1" thickTop="1" thickBot="1" x14ac:dyDescent="0.3">
      <c r="A38" s="188"/>
      <c r="B38" s="116" t="s">
        <v>8</v>
      </c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3"/>
      <c r="U38" s="73"/>
      <c r="V38" s="73"/>
      <c r="W38" s="73"/>
      <c r="X38" s="73"/>
      <c r="Y38" s="71"/>
    </row>
    <row r="39" spans="1:25" ht="16.149999999999999" customHeight="1" thickTop="1" thickBot="1" x14ac:dyDescent="0.3">
      <c r="A39" s="188"/>
      <c r="B39" s="117" t="s">
        <v>9</v>
      </c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6"/>
      <c r="U39" s="76"/>
      <c r="V39" s="76"/>
      <c r="W39" s="76"/>
      <c r="X39" s="76"/>
      <c r="Y39" s="77"/>
    </row>
    <row r="40" spans="1:25" ht="16.149999999999999" customHeight="1" thickTop="1" thickBot="1" x14ac:dyDescent="0.3">
      <c r="A40" s="188"/>
      <c r="B40" s="118" t="s">
        <v>14</v>
      </c>
      <c r="C40" s="102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3"/>
      <c r="S40" s="103"/>
      <c r="T40" s="104"/>
      <c r="U40" s="104"/>
      <c r="V40" s="104"/>
      <c r="W40" s="104"/>
      <c r="X40" s="104"/>
      <c r="Y40" s="105"/>
    </row>
    <row r="41" spans="1:25" ht="16.149999999999999" customHeight="1" thickTop="1" thickBot="1" x14ac:dyDescent="0.3">
      <c r="A41" s="188" t="s">
        <v>24</v>
      </c>
      <c r="B41" s="106" t="s">
        <v>10</v>
      </c>
      <c r="C41" s="106"/>
      <c r="D41" s="106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84"/>
      <c r="U41" s="84"/>
      <c r="V41" s="84"/>
      <c r="W41" s="84"/>
      <c r="X41" s="84"/>
      <c r="Y41" s="84"/>
    </row>
    <row r="42" spans="1:25" ht="16.149999999999999" customHeight="1" thickTop="1" thickBot="1" x14ac:dyDescent="0.3">
      <c r="A42" s="188"/>
      <c r="B42" s="107" t="s">
        <v>11</v>
      </c>
      <c r="C42" s="107"/>
      <c r="D42" s="107"/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88"/>
      <c r="U42" s="88"/>
      <c r="V42" s="88"/>
      <c r="W42" s="88"/>
      <c r="X42" s="88"/>
      <c r="Y42" s="88"/>
    </row>
    <row r="43" spans="1:25" ht="16.149999999999999" customHeight="1" thickTop="1" thickBot="1" x14ac:dyDescent="0.3">
      <c r="A43" s="188"/>
      <c r="B43" s="108" t="s">
        <v>12</v>
      </c>
      <c r="C43" s="108"/>
      <c r="D43" s="108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69"/>
      <c r="Q43" s="69"/>
      <c r="R43" s="69"/>
      <c r="S43" s="69"/>
      <c r="T43" s="70"/>
      <c r="U43" s="70"/>
      <c r="V43" s="70"/>
      <c r="W43" s="70"/>
      <c r="X43" s="70"/>
      <c r="Y43" s="70"/>
    </row>
    <row r="44" spans="1:25" ht="16.5" thickTop="1" thickBot="1" x14ac:dyDescent="0.3">
      <c r="A44" s="188"/>
      <c r="B44" s="109" t="s">
        <v>7</v>
      </c>
      <c r="C44" s="109"/>
      <c r="D44" s="109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3"/>
      <c r="U44" s="73"/>
      <c r="V44" s="73"/>
      <c r="W44" s="73"/>
      <c r="X44" s="73"/>
      <c r="Y44" s="73"/>
    </row>
    <row r="45" spans="1:25" ht="16.5" thickTop="1" thickBot="1" x14ac:dyDescent="0.3">
      <c r="A45" s="188"/>
      <c r="B45" s="109" t="s">
        <v>8</v>
      </c>
      <c r="C45" s="109"/>
      <c r="D45" s="109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3"/>
      <c r="U45" s="73"/>
      <c r="V45" s="73"/>
      <c r="W45" s="73"/>
      <c r="X45" s="73"/>
      <c r="Y45" s="73"/>
    </row>
    <row r="46" spans="1:25" ht="16.5" thickTop="1" thickBot="1" x14ac:dyDescent="0.3">
      <c r="A46" s="188"/>
      <c r="B46" s="110" t="s">
        <v>9</v>
      </c>
      <c r="C46" s="110"/>
      <c r="D46" s="110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5"/>
      <c r="S46" s="75"/>
      <c r="T46" s="76"/>
      <c r="U46" s="76"/>
      <c r="V46" s="76"/>
      <c r="W46" s="76"/>
      <c r="X46" s="76"/>
      <c r="Y46" s="76"/>
    </row>
    <row r="47" spans="1:25" ht="16.5" thickTop="1" thickBot="1" x14ac:dyDescent="0.3">
      <c r="A47" s="188"/>
      <c r="B47" s="118" t="s">
        <v>14</v>
      </c>
      <c r="C47" s="111"/>
      <c r="D47" s="111"/>
      <c r="E47" s="103"/>
      <c r="F47" s="103"/>
      <c r="G47" s="103"/>
      <c r="H47" s="103"/>
      <c r="I47" s="103"/>
      <c r="J47" s="103"/>
      <c r="K47" s="103"/>
      <c r="L47" s="103"/>
      <c r="M47" s="103"/>
      <c r="N47" s="103"/>
      <c r="O47" s="103"/>
      <c r="P47" s="103"/>
      <c r="Q47" s="103"/>
      <c r="R47" s="103"/>
      <c r="S47" s="103"/>
      <c r="T47" s="104"/>
      <c r="U47" s="104"/>
      <c r="V47" s="104"/>
      <c r="W47" s="104"/>
      <c r="X47" s="104"/>
      <c r="Y47" s="104"/>
    </row>
    <row r="48" spans="1:25" ht="15.75" thickTop="1" x14ac:dyDescent="0.25"/>
    <row r="49" spans="1:5" x14ac:dyDescent="0.25">
      <c r="A49" t="s">
        <v>42</v>
      </c>
      <c r="B49" s="122" t="s">
        <v>43</v>
      </c>
    </row>
    <row r="50" spans="1:5" x14ac:dyDescent="0.25">
      <c r="A50" s="146" t="s">
        <v>310</v>
      </c>
      <c r="B50" s="139" t="s">
        <v>107</v>
      </c>
      <c r="E50" s="125"/>
    </row>
    <row r="51" spans="1:5" x14ac:dyDescent="0.25">
      <c r="A51" s="145" t="s">
        <v>172</v>
      </c>
      <c r="B51" s="140" t="s">
        <v>167</v>
      </c>
      <c r="C51" s="141"/>
      <c r="E51" s="125"/>
    </row>
    <row r="52" spans="1:5" x14ac:dyDescent="0.25">
      <c r="A52" s="145" t="s">
        <v>311</v>
      </c>
      <c r="B52" s="140" t="s">
        <v>108</v>
      </c>
      <c r="C52" s="151" t="s">
        <v>113</v>
      </c>
      <c r="E52" s="125"/>
    </row>
    <row r="53" spans="1:5" x14ac:dyDescent="0.25">
      <c r="A53" s="145" t="s">
        <v>310</v>
      </c>
      <c r="B53" s="140" t="s">
        <v>109</v>
      </c>
      <c r="C53" s="148"/>
      <c r="E53" s="125"/>
    </row>
    <row r="54" spans="1:5" x14ac:dyDescent="0.25">
      <c r="A54" s="145" t="s">
        <v>171</v>
      </c>
      <c r="B54" s="140" t="s">
        <v>110</v>
      </c>
      <c r="C54" s="151" t="s">
        <v>169</v>
      </c>
      <c r="E54" s="125"/>
    </row>
    <row r="55" spans="1:5" x14ac:dyDescent="0.25">
      <c r="A55" s="145" t="s">
        <v>171</v>
      </c>
      <c r="B55" s="140" t="s">
        <v>111</v>
      </c>
      <c r="C55" s="151" t="s">
        <v>169</v>
      </c>
      <c r="E55" s="125"/>
    </row>
    <row r="56" spans="1:5" x14ac:dyDescent="0.25">
      <c r="A56" s="145" t="s">
        <v>171</v>
      </c>
      <c r="B56" s="140" t="s">
        <v>112</v>
      </c>
      <c r="C56" s="151" t="s">
        <v>169</v>
      </c>
      <c r="E56" s="125"/>
    </row>
    <row r="57" spans="1:5" x14ac:dyDescent="0.25">
      <c r="A57" s="145" t="s">
        <v>171</v>
      </c>
      <c r="B57" s="140" t="s">
        <v>193</v>
      </c>
      <c r="C57" s="148"/>
      <c r="E57" s="125"/>
    </row>
    <row r="58" spans="1:5" x14ac:dyDescent="0.25">
      <c r="A58" s="145" t="s">
        <v>311</v>
      </c>
      <c r="B58" s="140" t="s">
        <v>151</v>
      </c>
      <c r="C58" s="141">
        <v>45936</v>
      </c>
      <c r="E58" s="125"/>
    </row>
    <row r="59" spans="1:5" x14ac:dyDescent="0.25">
      <c r="A59" s="145" t="s">
        <v>171</v>
      </c>
      <c r="B59" s="140" t="s">
        <v>309</v>
      </c>
      <c r="E59" s="125"/>
    </row>
    <row r="60" spans="1:5" x14ac:dyDescent="0.25">
      <c r="A60" s="128"/>
      <c r="B60" s="129"/>
      <c r="E60" s="125"/>
    </row>
    <row r="61" spans="1:5" x14ac:dyDescent="0.25">
      <c r="A61" s="128"/>
      <c r="B61" s="129"/>
      <c r="E61" s="125"/>
    </row>
    <row r="62" spans="1:5" x14ac:dyDescent="0.25">
      <c r="A62" s="128"/>
      <c r="B62" s="129"/>
      <c r="E62" s="125"/>
    </row>
    <row r="63" spans="1:5" x14ac:dyDescent="0.25">
      <c r="A63" s="128"/>
      <c r="B63" s="129"/>
      <c r="E63" s="125"/>
    </row>
    <row r="64" spans="1:5" x14ac:dyDescent="0.25">
      <c r="A64" s="128"/>
      <c r="B64" s="129"/>
      <c r="E64" s="125"/>
    </row>
    <row r="65" spans="1:5" x14ac:dyDescent="0.25">
      <c r="A65" s="128"/>
      <c r="B65" s="129"/>
      <c r="E65" s="125"/>
    </row>
    <row r="66" spans="1:5" x14ac:dyDescent="0.25">
      <c r="A66" s="128"/>
      <c r="B66" s="129"/>
      <c r="E66" s="125"/>
    </row>
    <row r="67" spans="1:5" x14ac:dyDescent="0.25">
      <c r="A67" s="128"/>
      <c r="B67" s="129"/>
      <c r="E67" s="125"/>
    </row>
    <row r="68" spans="1:5" x14ac:dyDescent="0.25">
      <c r="A68" s="128"/>
      <c r="B68" s="129"/>
    </row>
    <row r="69" spans="1:5" x14ac:dyDescent="0.25">
      <c r="A69" s="128"/>
      <c r="B69" s="129"/>
    </row>
    <row r="70" spans="1:5" x14ac:dyDescent="0.25">
      <c r="A70" s="130"/>
      <c r="B70" s="131"/>
    </row>
  </sheetData>
  <mergeCells count="8">
    <mergeCell ref="A27:A33"/>
    <mergeCell ref="A34:A40"/>
    <mergeCell ref="A41:A47"/>
    <mergeCell ref="A1:I3"/>
    <mergeCell ref="A4:B4"/>
    <mergeCell ref="A6:A12"/>
    <mergeCell ref="A13:A19"/>
    <mergeCell ref="A20:A26"/>
  </mergeCells>
  <conditionalFormatting sqref="D23:X25 D22:I22 K22:X22 D20:X21 D6:Y6">
    <cfRule type="containsText" dxfId="164" priority="19" operator="containsText" text=" Анікєєв">
      <formula>NOT(ISERROR(SEARCH(" Анікєєв",D6)))</formula>
    </cfRule>
  </conditionalFormatting>
  <conditionalFormatting sqref="D7:I7 M7:X7">
    <cfRule type="containsText" dxfId="163" priority="18" operator="containsText" text=" Анікєєв">
      <formula>NOT(ISERROR(SEARCH(" Анікєєв",D7)))</formula>
    </cfRule>
  </conditionalFormatting>
  <conditionalFormatting sqref="D8:G8 M8:X8 I8">
    <cfRule type="containsText" dxfId="162" priority="17" operator="containsText" text=" Анікєєв">
      <formula>NOT(ISERROR(SEARCH(" Анікєєв",D8)))</formula>
    </cfRule>
  </conditionalFormatting>
  <conditionalFormatting sqref="D9:G9 I9:X9">
    <cfRule type="containsText" dxfId="161" priority="16" operator="containsText" text=" Анікєєв">
      <formula>NOT(ISERROR(SEARCH(" Анікєєв",D9)))</formula>
    </cfRule>
  </conditionalFormatting>
  <conditionalFormatting sqref="D10:X11">
    <cfRule type="containsText" dxfId="160" priority="15" operator="containsText" text=" Анікєєв">
      <formula>NOT(ISERROR(SEARCH(" Анікєєв",D10)))</formula>
    </cfRule>
  </conditionalFormatting>
  <conditionalFormatting sqref="D12:X12">
    <cfRule type="containsText" dxfId="159" priority="14" operator="containsText" text=" Анікєєв">
      <formula>NOT(ISERROR(SEARCH(" Анікєєв",D12)))</formula>
    </cfRule>
  </conditionalFormatting>
  <conditionalFormatting sqref="D13:X14 D16 M16:X16 E15:X15 D17:X19">
    <cfRule type="containsText" dxfId="158" priority="13" operator="containsText" text=" Анікєєв">
      <formula>NOT(ISERROR(SEARCH(" Анікєєв",D13)))</formula>
    </cfRule>
  </conditionalFormatting>
  <conditionalFormatting sqref="D32:X32 R31:X31 D27:X28 D30:X30 M29:X29">
    <cfRule type="containsText" dxfId="157" priority="11" operator="containsText" text=" Анікєєв">
      <formula>NOT(ISERROR(SEARCH(" Анікєєв",D27)))</formula>
    </cfRule>
  </conditionalFormatting>
  <conditionalFormatting sqref="D34:X34">
    <cfRule type="containsText" dxfId="156" priority="10" operator="containsText" text=" Анікєєв">
      <formula>NOT(ISERROR(SEARCH(" Анікєєв",D34)))</formula>
    </cfRule>
  </conditionalFormatting>
  <conditionalFormatting sqref="D33:X33">
    <cfRule type="containsText" dxfId="155" priority="9" operator="containsText" text=" Анікєєв">
      <formula>NOT(ISERROR(SEARCH(" Анікєєв",D33)))</formula>
    </cfRule>
  </conditionalFormatting>
  <conditionalFormatting sqref="C34:C40 D36:E37 F36:G36">
    <cfRule type="containsText" dxfId="154" priority="8" operator="containsText" text=" Анікєєв">
      <formula>NOT(ISERROR(SEARCH(" Анікєєв",C34)))</formula>
    </cfRule>
  </conditionalFormatting>
  <conditionalFormatting sqref="B41:Y41">
    <cfRule type="containsText" dxfId="153" priority="7" operator="containsText" text=" Анікєєв">
      <formula>NOT(ISERROR(SEARCH(" Анікєєв",B41)))</formula>
    </cfRule>
  </conditionalFormatting>
  <conditionalFormatting sqref="C15:D15">
    <cfRule type="containsText" dxfId="152" priority="5" operator="containsText" text=" Анікєєв">
      <formula>NOT(ISERROR(SEARCH(" Анікєєв",C15)))</formula>
    </cfRule>
  </conditionalFormatting>
  <conditionalFormatting sqref="J7:L8">
    <cfRule type="containsText" dxfId="151" priority="3" operator="containsText" text=" Анікєєв">
      <formula>NOT(ISERROR(SEARCH(" Анікєєв",J7)))</formula>
    </cfRule>
  </conditionalFormatting>
  <conditionalFormatting sqref="H8">
    <cfRule type="containsText" dxfId="150" priority="2" operator="containsText" text=" Анікєєв">
      <formula>NOT(ISERROR(SEARCH(" Анікєєв",H8)))</formula>
    </cfRule>
  </conditionalFormatting>
  <conditionalFormatting sqref="H9">
    <cfRule type="containsText" dxfId="149" priority="1" operator="containsText" text=" Анікєєв">
      <formula>NOT(ISERROR(SEARCH(" Анікєєв",H9)))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>
    <pageSetUpPr fitToPage="1"/>
  </sheetPr>
  <dimension ref="A1:Y70"/>
  <sheetViews>
    <sheetView zoomScale="70" zoomScaleNormal="70" workbookViewId="0">
      <pane xSplit="6" ySplit="5" topLeftCell="G6" activePane="bottomRight" state="frozenSplit"/>
      <selection pane="topRight" activeCell="G1" sqref="G1"/>
      <selection pane="bottomLeft" activeCell="A16" sqref="A16"/>
      <selection pane="bottomRight" activeCell="J39" sqref="J39"/>
    </sheetView>
  </sheetViews>
  <sheetFormatPr defaultRowHeight="15" x14ac:dyDescent="0.25"/>
  <cols>
    <col min="1" max="1" width="21.7109375" customWidth="1"/>
    <col min="2" max="2" width="11.85546875" customWidth="1"/>
    <col min="3" max="6" width="30.140625" hidden="1" customWidth="1"/>
    <col min="7" max="11" width="30.140625" bestFit="1" customWidth="1"/>
    <col min="12" max="12" width="25" customWidth="1"/>
    <col min="13" max="14" width="25" bestFit="1" customWidth="1"/>
    <col min="15" max="15" width="27.42578125" customWidth="1"/>
    <col min="16" max="16" width="31.28515625" customWidth="1"/>
    <col min="17" max="17" width="28.42578125" customWidth="1"/>
    <col min="18" max="18" width="24.28515625" bestFit="1" customWidth="1"/>
    <col min="19" max="21" width="25" bestFit="1" customWidth="1"/>
    <col min="22" max="22" width="25" customWidth="1"/>
    <col min="23" max="23" width="25" bestFit="1" customWidth="1"/>
    <col min="24" max="24" width="25" customWidth="1"/>
    <col min="25" max="25" width="25" bestFit="1" customWidth="1"/>
  </cols>
  <sheetData>
    <row r="1" spans="1:25" ht="15" customHeight="1" x14ac:dyDescent="0.25">
      <c r="A1" s="189" t="s">
        <v>175</v>
      </c>
      <c r="B1" s="189"/>
      <c r="C1" s="189"/>
      <c r="D1" s="189"/>
      <c r="E1" s="189"/>
      <c r="F1" s="189"/>
      <c r="G1" s="189"/>
      <c r="H1" s="189"/>
      <c r="I1" s="189"/>
      <c r="J1" s="9"/>
      <c r="K1" s="9"/>
      <c r="L1" s="9"/>
      <c r="M1" s="9"/>
      <c r="N1" s="9"/>
      <c r="O1" s="9"/>
      <c r="P1" s="9"/>
      <c r="Q1" s="9"/>
      <c r="R1" s="9"/>
    </row>
    <row r="2" spans="1:25" ht="14.45" customHeight="1" x14ac:dyDescent="0.25">
      <c r="A2" s="189"/>
      <c r="B2" s="189"/>
      <c r="C2" s="189"/>
      <c r="D2" s="189"/>
      <c r="E2" s="189"/>
      <c r="F2" s="189"/>
      <c r="G2" s="189"/>
      <c r="H2" s="189"/>
      <c r="I2" s="189"/>
      <c r="J2" s="9"/>
      <c r="K2" s="9"/>
      <c r="L2" s="9"/>
      <c r="M2" s="9"/>
      <c r="N2" s="9"/>
      <c r="O2" s="9"/>
      <c r="P2" s="9"/>
      <c r="Q2" s="9"/>
      <c r="R2" s="9"/>
    </row>
    <row r="3" spans="1:25" ht="15" customHeight="1" thickBot="1" x14ac:dyDescent="0.3">
      <c r="A3" s="190"/>
      <c r="B3" s="190"/>
      <c r="C3" s="190"/>
      <c r="D3" s="190"/>
      <c r="E3" s="190"/>
      <c r="F3" s="190"/>
      <c r="G3" s="190"/>
      <c r="H3" s="190"/>
      <c r="I3" s="190"/>
      <c r="J3" s="9"/>
      <c r="K3" s="9"/>
      <c r="L3" s="9"/>
      <c r="M3" s="9"/>
      <c r="N3" s="9"/>
      <c r="O3" s="9"/>
      <c r="P3" s="9"/>
      <c r="Q3" s="9"/>
      <c r="R3" s="9"/>
    </row>
    <row r="4" spans="1:25" s="113" customFormat="1" ht="22.5" thickTop="1" thickBot="1" x14ac:dyDescent="0.35">
      <c r="A4" s="191" t="s">
        <v>13</v>
      </c>
      <c r="B4" s="192"/>
      <c r="C4" s="1">
        <v>1</v>
      </c>
      <c r="D4" s="1">
        <v>2</v>
      </c>
      <c r="E4" s="1">
        <v>3</v>
      </c>
      <c r="F4" s="1">
        <v>4</v>
      </c>
      <c r="G4" s="1">
        <v>5</v>
      </c>
      <c r="H4" s="1">
        <v>6</v>
      </c>
      <c r="I4" s="1">
        <v>7</v>
      </c>
      <c r="J4" s="1">
        <v>8</v>
      </c>
      <c r="K4" s="1">
        <v>9</v>
      </c>
      <c r="L4" s="1">
        <v>10</v>
      </c>
      <c r="M4" s="1">
        <v>11</v>
      </c>
      <c r="N4" s="1">
        <v>12</v>
      </c>
      <c r="O4" s="1">
        <v>13</v>
      </c>
      <c r="P4" s="1">
        <v>14</v>
      </c>
      <c r="Q4" s="1">
        <v>15</v>
      </c>
      <c r="R4" s="1">
        <v>16</v>
      </c>
      <c r="S4" s="1">
        <v>17</v>
      </c>
      <c r="T4" s="112">
        <v>18</v>
      </c>
      <c r="U4" s="112">
        <v>19</v>
      </c>
      <c r="V4" s="112">
        <v>20</v>
      </c>
      <c r="W4" s="112">
        <v>21</v>
      </c>
      <c r="X4" s="112">
        <v>22</v>
      </c>
      <c r="Y4" s="112">
        <v>23</v>
      </c>
    </row>
    <row r="5" spans="1:25" ht="21.75" thickTop="1" thickBot="1" x14ac:dyDescent="0.35">
      <c r="A5" s="2" t="s">
        <v>0</v>
      </c>
      <c r="B5" s="3" t="s">
        <v>1</v>
      </c>
      <c r="C5" s="4" t="s">
        <v>49</v>
      </c>
      <c r="D5" s="4" t="s">
        <v>50</v>
      </c>
      <c r="E5" s="4" t="s">
        <v>51</v>
      </c>
      <c r="F5" s="4" t="s">
        <v>52</v>
      </c>
      <c r="G5" s="4" t="s">
        <v>48</v>
      </c>
      <c r="H5" s="4" t="s">
        <v>47</v>
      </c>
      <c r="I5" s="4" t="s">
        <v>46</v>
      </c>
      <c r="J5" s="4" t="s">
        <v>45</v>
      </c>
      <c r="K5" s="4" t="s">
        <v>53</v>
      </c>
      <c r="L5" s="4" t="s">
        <v>54</v>
      </c>
      <c r="M5" s="4" t="s">
        <v>61</v>
      </c>
      <c r="N5" s="4" t="s">
        <v>60</v>
      </c>
      <c r="O5" s="4" t="s">
        <v>59</v>
      </c>
      <c r="P5" s="4" t="s">
        <v>58</v>
      </c>
      <c r="Q5" s="4" t="s">
        <v>57</v>
      </c>
      <c r="R5" s="4" t="s">
        <v>56</v>
      </c>
      <c r="S5" s="4" t="s">
        <v>55</v>
      </c>
      <c r="T5" s="114"/>
      <c r="U5" s="114"/>
      <c r="V5" s="114"/>
      <c r="W5" s="114"/>
      <c r="X5" s="114"/>
      <c r="Y5" s="114"/>
    </row>
    <row r="6" spans="1:25" s="8" customFormat="1" ht="16.149999999999999" customHeight="1" thickTop="1" thickBot="1" x14ac:dyDescent="0.3">
      <c r="A6" s="193" t="s">
        <v>2</v>
      </c>
      <c r="B6" s="115" t="s">
        <v>10</v>
      </c>
      <c r="C6" s="65"/>
      <c r="D6" s="66"/>
      <c r="E6" s="66"/>
      <c r="F6" s="66"/>
      <c r="G6" s="66"/>
      <c r="H6" s="66"/>
      <c r="I6" s="66"/>
      <c r="J6" s="152"/>
      <c r="K6" s="152"/>
      <c r="L6" s="152"/>
      <c r="M6" s="152"/>
      <c r="N6" s="152"/>
      <c r="O6" s="66"/>
      <c r="P6" s="66"/>
      <c r="Q6" s="66"/>
      <c r="R6" s="66"/>
      <c r="S6" s="66"/>
      <c r="T6" s="67"/>
      <c r="U6" s="67"/>
      <c r="V6" s="67"/>
      <c r="W6" s="67"/>
      <c r="X6" s="67"/>
      <c r="Y6" s="67"/>
    </row>
    <row r="7" spans="1:25" s="8" customFormat="1" ht="16.149999999999999" customHeight="1" thickTop="1" thickBot="1" x14ac:dyDescent="0.3">
      <c r="A7" s="193"/>
      <c r="B7" s="116" t="s">
        <v>11</v>
      </c>
      <c r="C7" s="68"/>
      <c r="D7" s="69"/>
      <c r="E7" s="69"/>
      <c r="F7" s="69"/>
      <c r="G7" s="69"/>
      <c r="H7" s="69"/>
      <c r="I7" s="69"/>
      <c r="J7" s="170"/>
      <c r="K7" s="170"/>
      <c r="L7" s="170"/>
      <c r="M7" s="170"/>
      <c r="N7" s="170"/>
      <c r="O7" s="69"/>
      <c r="P7" s="69"/>
      <c r="Q7" s="69"/>
      <c r="R7" s="69"/>
      <c r="S7" s="69"/>
      <c r="T7" s="70"/>
      <c r="U7" s="70"/>
      <c r="V7" s="70"/>
      <c r="W7" s="70"/>
      <c r="X7" s="70"/>
      <c r="Y7" s="71"/>
    </row>
    <row r="8" spans="1:25" s="8" customFormat="1" ht="16.149999999999999" customHeight="1" thickTop="1" thickBot="1" x14ac:dyDescent="0.3">
      <c r="A8" s="193"/>
      <c r="B8" s="116" t="s">
        <v>12</v>
      </c>
      <c r="C8" s="68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3"/>
      <c r="U8" s="73"/>
      <c r="V8" s="73"/>
      <c r="W8" s="73"/>
      <c r="X8" s="73"/>
      <c r="Y8" s="71"/>
    </row>
    <row r="9" spans="1:25" s="8" customFormat="1" ht="16.149999999999999" customHeight="1" thickTop="1" thickBot="1" x14ac:dyDescent="0.3">
      <c r="A9" s="193"/>
      <c r="B9" s="116" t="s">
        <v>7</v>
      </c>
      <c r="C9" s="68"/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3"/>
      <c r="U9" s="73"/>
      <c r="V9" s="73"/>
      <c r="W9" s="73"/>
      <c r="X9" s="73"/>
      <c r="Y9" s="71"/>
    </row>
    <row r="10" spans="1:25" s="8" customFormat="1" ht="16.149999999999999" customHeight="1" thickTop="1" thickBot="1" x14ac:dyDescent="0.3">
      <c r="A10" s="193"/>
      <c r="B10" s="116" t="s">
        <v>8</v>
      </c>
      <c r="C10" s="68" t="s">
        <v>177</v>
      </c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3"/>
      <c r="U10" s="73"/>
      <c r="V10" s="73"/>
      <c r="W10" s="73"/>
      <c r="X10" s="73"/>
      <c r="Y10" s="71"/>
    </row>
    <row r="11" spans="1:25" s="8" customFormat="1" ht="16.149999999999999" customHeight="1" thickTop="1" thickBot="1" x14ac:dyDescent="0.3">
      <c r="A11" s="193"/>
      <c r="B11" s="117" t="s">
        <v>9</v>
      </c>
      <c r="C11" s="74"/>
      <c r="D11" s="75"/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6"/>
      <c r="U11" s="76"/>
      <c r="V11" s="76"/>
      <c r="W11" s="76"/>
      <c r="X11" s="76"/>
      <c r="Y11" s="77"/>
    </row>
    <row r="12" spans="1:25" s="11" customFormat="1" ht="16.149999999999999" customHeight="1" thickTop="1" thickBot="1" x14ac:dyDescent="0.3">
      <c r="A12" s="193"/>
      <c r="B12" s="118" t="s">
        <v>14</v>
      </c>
      <c r="C12" s="78"/>
      <c r="D12" s="79"/>
      <c r="E12" s="79"/>
      <c r="F12" s="79"/>
      <c r="G12" s="79"/>
      <c r="H12" s="79"/>
      <c r="I12" s="79"/>
      <c r="J12" s="171"/>
      <c r="K12" s="171"/>
      <c r="L12" s="171"/>
      <c r="M12" s="171"/>
      <c r="N12" s="171"/>
      <c r="O12" s="79"/>
      <c r="P12" s="79"/>
      <c r="Q12" s="79"/>
      <c r="R12" s="79"/>
      <c r="S12" s="79"/>
      <c r="T12" s="80"/>
      <c r="U12" s="80"/>
      <c r="V12" s="80"/>
      <c r="W12" s="80"/>
      <c r="X12" s="80"/>
      <c r="Y12" s="81"/>
    </row>
    <row r="13" spans="1:25" s="11" customFormat="1" ht="16.149999999999999" customHeight="1" thickTop="1" thickBot="1" x14ac:dyDescent="0.3">
      <c r="A13" s="194" t="s">
        <v>3</v>
      </c>
      <c r="B13" s="97" t="s">
        <v>10</v>
      </c>
      <c r="C13" s="82"/>
      <c r="D13" s="83"/>
      <c r="E13" s="83"/>
      <c r="F13" s="83"/>
      <c r="G13" s="83"/>
      <c r="H13" s="83"/>
      <c r="I13" s="83"/>
      <c r="J13" s="147"/>
      <c r="K13" s="147"/>
      <c r="L13" s="147"/>
      <c r="M13" s="147"/>
      <c r="N13" s="147"/>
      <c r="O13" s="83"/>
      <c r="P13" s="83"/>
      <c r="Q13" s="83"/>
      <c r="R13" s="83"/>
      <c r="S13" s="83"/>
      <c r="T13" s="84"/>
      <c r="U13" s="84"/>
      <c r="V13" s="84"/>
      <c r="W13" s="84"/>
      <c r="X13" s="84"/>
      <c r="Y13" s="85"/>
    </row>
    <row r="14" spans="1:25" s="11" customFormat="1" ht="16.5" thickTop="1" thickBot="1" x14ac:dyDescent="0.3">
      <c r="A14" s="194"/>
      <c r="B14" s="119" t="s">
        <v>11</v>
      </c>
      <c r="C14" s="86"/>
      <c r="D14" s="87"/>
      <c r="E14" s="87"/>
      <c r="F14" s="87"/>
      <c r="G14" s="87"/>
      <c r="H14" s="87"/>
      <c r="I14" s="87"/>
      <c r="J14" s="90"/>
      <c r="K14" s="90"/>
      <c r="L14" s="90"/>
      <c r="M14" s="90"/>
      <c r="N14" s="90"/>
      <c r="O14" s="87"/>
      <c r="P14" s="87"/>
      <c r="Q14" s="87"/>
      <c r="R14" s="87"/>
      <c r="S14" s="87"/>
      <c r="T14" s="88"/>
      <c r="U14" s="88"/>
      <c r="V14" s="88"/>
      <c r="W14" s="88"/>
      <c r="X14" s="88"/>
      <c r="Y14" s="71"/>
    </row>
    <row r="15" spans="1:25" s="11" customFormat="1" ht="31.5" thickTop="1" thickBot="1" x14ac:dyDescent="0.3">
      <c r="A15" s="194"/>
      <c r="B15" s="119" t="s">
        <v>12</v>
      </c>
      <c r="C15" s="89"/>
      <c r="D15" s="90"/>
      <c r="E15" s="90"/>
      <c r="F15" s="90"/>
      <c r="G15" s="90"/>
      <c r="H15" s="90" t="s">
        <v>187</v>
      </c>
      <c r="I15" s="90" t="s">
        <v>187</v>
      </c>
      <c r="J15" s="90" t="s">
        <v>352</v>
      </c>
      <c r="K15" s="90" t="s">
        <v>352</v>
      </c>
      <c r="L15" s="90"/>
      <c r="M15" s="90"/>
      <c r="N15" s="90"/>
      <c r="O15" s="90"/>
      <c r="P15" s="90"/>
      <c r="Q15" s="90"/>
      <c r="R15" s="90"/>
      <c r="S15" s="90"/>
      <c r="T15" s="73"/>
      <c r="U15" s="73"/>
      <c r="V15" s="73"/>
      <c r="W15" s="73"/>
      <c r="X15" s="73"/>
      <c r="Y15" s="71"/>
    </row>
    <row r="16" spans="1:25" s="11" customFormat="1" ht="31.5" thickTop="1" thickBot="1" x14ac:dyDescent="0.3">
      <c r="A16" s="194"/>
      <c r="B16" s="119" t="s">
        <v>7</v>
      </c>
      <c r="C16" s="87" t="s">
        <v>186</v>
      </c>
      <c r="D16" s="87" t="s">
        <v>186</v>
      </c>
      <c r="E16" s="87" t="s">
        <v>186</v>
      </c>
      <c r="F16" s="87" t="s">
        <v>186</v>
      </c>
      <c r="G16" s="87" t="s">
        <v>186</v>
      </c>
      <c r="H16" s="87" t="s">
        <v>186</v>
      </c>
      <c r="I16" s="87" t="s">
        <v>186</v>
      </c>
      <c r="J16" s="90" t="s">
        <v>353</v>
      </c>
      <c r="K16" s="90" t="s">
        <v>353</v>
      </c>
      <c r="L16" s="90"/>
      <c r="M16" s="90"/>
      <c r="N16" s="90"/>
      <c r="O16" s="87"/>
      <c r="P16" s="87"/>
      <c r="Q16" s="87"/>
      <c r="R16" s="87"/>
      <c r="S16" s="87"/>
      <c r="T16" s="88"/>
      <c r="U16" s="88"/>
      <c r="V16" s="88"/>
      <c r="W16" s="88"/>
      <c r="X16" s="88"/>
      <c r="Y16" s="71"/>
    </row>
    <row r="17" spans="1:25" s="11" customFormat="1" ht="31.5" thickTop="1" thickBot="1" x14ac:dyDescent="0.3">
      <c r="A17" s="194"/>
      <c r="B17" s="119" t="s">
        <v>8</v>
      </c>
      <c r="C17" s="87" t="s">
        <v>187</v>
      </c>
      <c r="D17" s="87" t="s">
        <v>187</v>
      </c>
      <c r="E17" s="87" t="s">
        <v>187</v>
      </c>
      <c r="F17" s="87" t="s">
        <v>187</v>
      </c>
      <c r="G17" s="87" t="s">
        <v>187</v>
      </c>
      <c r="H17" s="87" t="s">
        <v>187</v>
      </c>
      <c r="I17" s="87" t="s">
        <v>187</v>
      </c>
      <c r="J17" s="90" t="s">
        <v>352</v>
      </c>
      <c r="K17" s="90" t="s">
        <v>352</v>
      </c>
      <c r="L17" s="90"/>
      <c r="M17" s="90"/>
      <c r="N17" s="90"/>
      <c r="O17" s="87"/>
      <c r="P17" s="87"/>
      <c r="Q17" s="87"/>
      <c r="R17" s="87"/>
      <c r="S17" s="87"/>
      <c r="T17" s="88"/>
      <c r="U17" s="88"/>
      <c r="V17" s="88"/>
      <c r="W17" s="88"/>
      <c r="X17" s="88"/>
      <c r="Y17" s="71"/>
    </row>
    <row r="18" spans="1:25" s="8" customFormat="1" ht="16.149999999999999" customHeight="1" thickTop="1" thickBot="1" x14ac:dyDescent="0.3">
      <c r="A18" s="194"/>
      <c r="B18" s="120" t="s">
        <v>9</v>
      </c>
      <c r="C18" s="86"/>
      <c r="D18" s="91"/>
      <c r="E18" s="91"/>
      <c r="F18" s="91"/>
      <c r="G18" s="91"/>
      <c r="H18" s="91"/>
      <c r="I18" s="91"/>
      <c r="J18" s="172"/>
      <c r="K18" s="172"/>
      <c r="L18" s="172"/>
      <c r="M18" s="172"/>
      <c r="N18" s="172"/>
      <c r="O18" s="91"/>
      <c r="P18" s="91"/>
      <c r="Q18" s="91"/>
      <c r="R18" s="91"/>
      <c r="S18" s="91"/>
      <c r="T18" s="92"/>
      <c r="U18" s="92"/>
      <c r="V18" s="92"/>
      <c r="W18" s="92"/>
      <c r="X18" s="92"/>
      <c r="Y18" s="77"/>
    </row>
    <row r="19" spans="1:25" s="8" customFormat="1" ht="16.149999999999999" customHeight="1" thickTop="1" thickBot="1" x14ac:dyDescent="0.3">
      <c r="A19" s="194"/>
      <c r="B19" s="121" t="s">
        <v>14</v>
      </c>
      <c r="C19" s="93"/>
      <c r="D19" s="94"/>
      <c r="E19" s="94"/>
      <c r="F19" s="94"/>
      <c r="G19" s="94"/>
      <c r="H19" s="94"/>
      <c r="I19" s="94"/>
      <c r="J19" s="173"/>
      <c r="K19" s="173"/>
      <c r="L19" s="173"/>
      <c r="M19" s="173"/>
      <c r="N19" s="173"/>
      <c r="O19" s="94"/>
      <c r="P19" s="94"/>
      <c r="Q19" s="94"/>
      <c r="R19" s="94"/>
      <c r="S19" s="94"/>
      <c r="T19" s="80"/>
      <c r="U19" s="80"/>
      <c r="V19" s="80"/>
      <c r="W19" s="80"/>
      <c r="X19" s="80"/>
      <c r="Y19" s="81"/>
    </row>
    <row r="20" spans="1:25" s="8" customFormat="1" ht="16.149999999999999" customHeight="1" thickTop="1" thickBot="1" x14ac:dyDescent="0.3">
      <c r="A20" s="193" t="s">
        <v>4</v>
      </c>
      <c r="B20" s="115" t="s">
        <v>10</v>
      </c>
      <c r="C20" s="65"/>
      <c r="D20" s="95"/>
      <c r="E20" s="95"/>
      <c r="F20" s="95"/>
      <c r="G20" s="95"/>
      <c r="H20" s="95"/>
      <c r="I20" s="95"/>
      <c r="J20" s="135"/>
      <c r="K20" s="135"/>
      <c r="L20" s="135"/>
      <c r="M20" s="135"/>
      <c r="N20" s="135"/>
      <c r="O20" s="95"/>
      <c r="P20" s="95"/>
      <c r="Q20" s="95"/>
      <c r="R20" s="95"/>
      <c r="S20" s="95"/>
      <c r="T20" s="84"/>
      <c r="U20" s="84"/>
      <c r="V20" s="84"/>
      <c r="W20" s="84"/>
      <c r="X20" s="84"/>
      <c r="Y20" s="85"/>
    </row>
    <row r="21" spans="1:25" s="8" customFormat="1" ht="16.149999999999999" customHeight="1" thickTop="1" thickBot="1" x14ac:dyDescent="0.3">
      <c r="A21" s="193"/>
      <c r="B21" s="116" t="s">
        <v>11</v>
      </c>
      <c r="C21" s="68"/>
      <c r="D21" s="96"/>
      <c r="E21" s="96"/>
      <c r="F21" s="96"/>
      <c r="G21" s="96"/>
      <c r="H21" s="96"/>
      <c r="I21" s="96"/>
      <c r="J21" s="72"/>
      <c r="K21" s="72"/>
      <c r="L21" s="72"/>
      <c r="M21" s="72"/>
      <c r="N21" s="72"/>
      <c r="O21" s="96"/>
      <c r="P21" s="96"/>
      <c r="Q21" s="96"/>
      <c r="R21" s="96"/>
      <c r="S21" s="96"/>
      <c r="T21" s="88"/>
      <c r="U21" s="88"/>
      <c r="V21" s="88"/>
      <c r="W21" s="88"/>
      <c r="X21" s="88"/>
      <c r="Y21" s="71"/>
    </row>
    <row r="22" spans="1:25" s="8" customFormat="1" ht="16.149999999999999" customHeight="1" thickTop="1" thickBot="1" x14ac:dyDescent="0.3">
      <c r="A22" s="193"/>
      <c r="B22" s="116" t="s">
        <v>12</v>
      </c>
      <c r="C22" s="68"/>
      <c r="D22" s="96"/>
      <c r="E22" s="96"/>
      <c r="F22" s="96"/>
      <c r="G22" s="96"/>
      <c r="H22" s="96"/>
      <c r="I22" s="96"/>
      <c r="J22" s="72"/>
      <c r="K22" s="72"/>
      <c r="L22" s="72"/>
      <c r="M22" s="72"/>
      <c r="N22" s="72"/>
      <c r="O22" s="96"/>
      <c r="P22" s="96"/>
      <c r="Q22" s="96"/>
      <c r="R22" s="96"/>
      <c r="S22" s="96"/>
      <c r="T22" s="88"/>
      <c r="U22" s="88"/>
      <c r="V22" s="88"/>
      <c r="W22" s="88"/>
      <c r="X22" s="88"/>
      <c r="Y22" s="71"/>
    </row>
    <row r="23" spans="1:25" s="8" customFormat="1" ht="16.149999999999999" customHeight="1" thickTop="1" thickBot="1" x14ac:dyDescent="0.3">
      <c r="A23" s="193"/>
      <c r="B23" s="116" t="s">
        <v>7</v>
      </c>
      <c r="C23" s="68"/>
      <c r="D23" s="68"/>
      <c r="E23" s="96"/>
      <c r="F23" s="96"/>
      <c r="G23" s="96"/>
      <c r="H23" s="96"/>
      <c r="I23" s="96"/>
      <c r="J23" s="72"/>
      <c r="K23" s="72"/>
      <c r="L23" s="72"/>
      <c r="M23" s="72"/>
      <c r="N23" s="72"/>
      <c r="O23" s="96"/>
      <c r="P23" s="96"/>
      <c r="Q23" s="96"/>
      <c r="R23" s="96"/>
      <c r="S23" s="96"/>
      <c r="T23" s="88"/>
      <c r="U23" s="88"/>
      <c r="V23" s="88"/>
      <c r="W23" s="88"/>
      <c r="X23" s="88"/>
      <c r="Y23" s="71"/>
    </row>
    <row r="24" spans="1:25" s="8" customFormat="1" ht="16.149999999999999" customHeight="1" thickTop="1" thickBot="1" x14ac:dyDescent="0.3">
      <c r="A24" s="193"/>
      <c r="B24" s="116" t="s">
        <v>8</v>
      </c>
      <c r="C24" s="68"/>
      <c r="D24" s="68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3"/>
      <c r="U24" s="73"/>
      <c r="V24" s="73"/>
      <c r="W24" s="73"/>
      <c r="X24" s="73"/>
      <c r="Y24" s="71"/>
    </row>
    <row r="25" spans="1:25" s="11" customFormat="1" ht="16.149999999999999" customHeight="1" thickTop="1" thickBot="1" x14ac:dyDescent="0.3">
      <c r="A25" s="193"/>
      <c r="B25" s="116" t="s">
        <v>9</v>
      </c>
      <c r="C25" s="68"/>
      <c r="D25" s="96"/>
      <c r="E25" s="96"/>
      <c r="F25" s="96"/>
      <c r="G25" s="96"/>
      <c r="H25" s="96"/>
      <c r="I25" s="96"/>
      <c r="J25" s="72"/>
      <c r="K25" s="72"/>
      <c r="L25" s="72"/>
      <c r="M25" s="72"/>
      <c r="N25" s="72"/>
      <c r="O25" s="96"/>
      <c r="P25" s="96"/>
      <c r="Q25" s="96"/>
      <c r="R25" s="96"/>
      <c r="S25" s="96"/>
      <c r="T25" s="88"/>
      <c r="U25" s="88"/>
      <c r="V25" s="88"/>
      <c r="W25" s="88"/>
      <c r="X25" s="88"/>
      <c r="Y25" s="71"/>
    </row>
    <row r="26" spans="1:25" s="11" customFormat="1" ht="16.149999999999999" customHeight="1" thickTop="1" thickBot="1" x14ac:dyDescent="0.3">
      <c r="A26" s="193"/>
      <c r="B26" s="118" t="s">
        <v>14</v>
      </c>
      <c r="C26" s="78"/>
      <c r="D26" s="79"/>
      <c r="E26" s="79"/>
      <c r="F26" s="79"/>
      <c r="G26" s="79"/>
      <c r="H26" s="79"/>
      <c r="I26" s="79"/>
      <c r="J26" s="171"/>
      <c r="K26" s="171"/>
      <c r="L26" s="171"/>
      <c r="M26" s="171"/>
      <c r="N26" s="171"/>
      <c r="O26" s="79"/>
      <c r="P26" s="79"/>
      <c r="Q26" s="79"/>
      <c r="R26" s="79"/>
      <c r="S26" s="79"/>
      <c r="T26" s="80"/>
      <c r="U26" s="80"/>
      <c r="V26" s="80"/>
      <c r="W26" s="80"/>
      <c r="X26" s="80"/>
      <c r="Y26" s="81"/>
    </row>
    <row r="27" spans="1:25" s="11" customFormat="1" ht="16.149999999999999" customHeight="1" thickTop="1" thickBot="1" x14ac:dyDescent="0.3">
      <c r="A27" s="194" t="s">
        <v>5</v>
      </c>
      <c r="B27" s="97" t="s">
        <v>10</v>
      </c>
      <c r="C27" s="97"/>
      <c r="D27" s="98"/>
      <c r="E27" s="98"/>
      <c r="F27" s="98"/>
      <c r="G27" s="98"/>
      <c r="H27" s="98"/>
      <c r="I27" s="98"/>
      <c r="J27" s="153"/>
      <c r="K27" s="153"/>
      <c r="L27" s="153"/>
      <c r="M27" s="153"/>
      <c r="N27" s="153"/>
      <c r="O27" s="98"/>
      <c r="P27" s="98"/>
      <c r="Q27" s="98"/>
      <c r="R27" s="98"/>
      <c r="S27" s="98"/>
      <c r="T27" s="67"/>
      <c r="U27" s="67"/>
      <c r="V27" s="67"/>
      <c r="W27" s="67"/>
      <c r="X27" s="67"/>
      <c r="Y27" s="85"/>
    </row>
    <row r="28" spans="1:25" s="11" customFormat="1" ht="16.149999999999999" customHeight="1" thickTop="1" thickBot="1" x14ac:dyDescent="0.3">
      <c r="A28" s="194"/>
      <c r="B28" s="119" t="s">
        <v>11</v>
      </c>
      <c r="C28" s="86"/>
      <c r="D28" s="87"/>
      <c r="E28" s="87"/>
      <c r="F28" s="87"/>
      <c r="G28" s="87"/>
      <c r="H28" s="87"/>
      <c r="I28" s="87"/>
      <c r="J28" s="90"/>
      <c r="K28" s="90"/>
      <c r="L28" s="90"/>
      <c r="M28" s="90"/>
      <c r="N28" s="90"/>
      <c r="O28" s="87"/>
      <c r="P28" s="87"/>
      <c r="Q28" s="87"/>
      <c r="R28" s="87"/>
      <c r="S28" s="87"/>
      <c r="T28" s="88"/>
      <c r="U28" s="88"/>
      <c r="V28" s="88"/>
      <c r="W28" s="88"/>
      <c r="X28" s="88"/>
      <c r="Y28" s="71"/>
    </row>
    <row r="29" spans="1:25" s="11" customFormat="1" ht="16.149999999999999" customHeight="1" thickTop="1" thickBot="1" x14ac:dyDescent="0.3">
      <c r="A29" s="194"/>
      <c r="B29" s="119" t="s">
        <v>12</v>
      </c>
      <c r="C29" s="86"/>
      <c r="D29" s="87"/>
      <c r="E29" s="87"/>
      <c r="F29" s="87"/>
      <c r="G29" s="87"/>
      <c r="H29" s="87"/>
      <c r="I29" s="87"/>
      <c r="J29" s="90"/>
      <c r="K29" s="90"/>
      <c r="L29" s="90"/>
      <c r="M29" s="90"/>
      <c r="N29" s="90"/>
      <c r="O29" s="87"/>
      <c r="P29" s="87"/>
      <c r="Q29" s="87"/>
      <c r="R29" s="87"/>
      <c r="S29" s="87"/>
      <c r="T29" s="88"/>
      <c r="U29" s="88"/>
      <c r="V29" s="88"/>
      <c r="W29" s="88"/>
      <c r="X29" s="88"/>
      <c r="Y29" s="71"/>
    </row>
    <row r="30" spans="1:25" s="11" customFormat="1" ht="31.5" thickTop="1" thickBot="1" x14ac:dyDescent="0.3">
      <c r="A30" s="194"/>
      <c r="B30" s="119" t="s">
        <v>7</v>
      </c>
      <c r="C30" s="99"/>
      <c r="D30" s="90"/>
      <c r="E30" s="90"/>
      <c r="F30" s="90"/>
      <c r="G30" s="90"/>
      <c r="H30" s="90" t="s">
        <v>186</v>
      </c>
      <c r="I30" s="90" t="s">
        <v>186</v>
      </c>
      <c r="J30" s="90" t="s">
        <v>353</v>
      </c>
      <c r="K30" s="90" t="s">
        <v>353</v>
      </c>
      <c r="L30" s="90"/>
      <c r="M30" s="90"/>
      <c r="N30" s="90"/>
      <c r="O30" s="90"/>
      <c r="P30" s="90"/>
      <c r="Q30" s="90"/>
      <c r="R30" s="90"/>
      <c r="S30" s="90"/>
      <c r="T30" s="73"/>
      <c r="U30" s="73"/>
      <c r="V30" s="73"/>
      <c r="W30" s="73"/>
      <c r="X30" s="73"/>
      <c r="Y30" s="71"/>
    </row>
    <row r="31" spans="1:25" s="11" customFormat="1" ht="16.149999999999999" customHeight="1" thickTop="1" thickBot="1" x14ac:dyDescent="0.3">
      <c r="A31" s="194"/>
      <c r="B31" s="119" t="s">
        <v>8</v>
      </c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90"/>
      <c r="S31" s="90"/>
      <c r="T31" s="73"/>
      <c r="U31" s="73"/>
      <c r="V31" s="73"/>
      <c r="W31" s="73"/>
      <c r="X31" s="73"/>
      <c r="Y31" s="100"/>
    </row>
    <row r="32" spans="1:25" s="8" customFormat="1" ht="16.149999999999999" customHeight="1" thickTop="1" thickBot="1" x14ac:dyDescent="0.3">
      <c r="A32" s="194"/>
      <c r="B32" s="120" t="s">
        <v>9</v>
      </c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73"/>
      <c r="U32" s="73"/>
      <c r="V32" s="73"/>
      <c r="W32" s="73"/>
      <c r="X32" s="73"/>
      <c r="Y32" s="101"/>
    </row>
    <row r="33" spans="1:25" s="8" customFormat="1" ht="16.5" thickTop="1" thickBot="1" x14ac:dyDescent="0.3">
      <c r="A33" s="194"/>
      <c r="B33" s="121" t="s">
        <v>14</v>
      </c>
      <c r="C33" s="90"/>
      <c r="D33" s="87"/>
      <c r="E33" s="87"/>
      <c r="F33" s="87"/>
      <c r="G33" s="87"/>
      <c r="H33" s="87"/>
      <c r="I33" s="87"/>
      <c r="J33" s="90"/>
      <c r="K33" s="90"/>
      <c r="L33" s="90"/>
      <c r="M33" s="90"/>
      <c r="N33" s="90"/>
      <c r="O33" s="87"/>
      <c r="P33" s="87"/>
      <c r="Q33" s="87"/>
      <c r="R33" s="87"/>
      <c r="S33" s="87"/>
      <c r="T33" s="88"/>
      <c r="U33" s="88"/>
      <c r="V33" s="88"/>
      <c r="W33" s="88"/>
      <c r="X33" s="88"/>
      <c r="Y33" s="81"/>
    </row>
    <row r="34" spans="1:25" s="8" customFormat="1" ht="16.149999999999999" customHeight="1" thickTop="1" thickBot="1" x14ac:dyDescent="0.3">
      <c r="A34" s="188" t="s">
        <v>6</v>
      </c>
      <c r="B34" s="115" t="s">
        <v>10</v>
      </c>
      <c r="C34" s="95"/>
      <c r="D34" s="95"/>
      <c r="E34" s="95"/>
      <c r="F34" s="95"/>
      <c r="G34" s="95"/>
      <c r="H34" s="95"/>
      <c r="I34" s="95"/>
      <c r="J34" s="135"/>
      <c r="K34" s="135"/>
      <c r="L34" s="135"/>
      <c r="M34" s="135"/>
      <c r="N34" s="135"/>
      <c r="O34" s="95"/>
      <c r="P34" s="95"/>
      <c r="Q34" s="95"/>
      <c r="R34" s="95"/>
      <c r="S34" s="95"/>
      <c r="T34" s="84"/>
      <c r="U34" s="84"/>
      <c r="V34" s="84"/>
      <c r="W34" s="84"/>
      <c r="X34" s="84"/>
      <c r="Y34" s="85"/>
    </row>
    <row r="35" spans="1:25" s="8" customFormat="1" ht="16.149999999999999" customHeight="1" thickTop="1" thickBot="1" x14ac:dyDescent="0.3">
      <c r="A35" s="188"/>
      <c r="B35" s="116" t="s">
        <v>11</v>
      </c>
      <c r="C35" s="96"/>
      <c r="D35" s="96"/>
      <c r="E35" s="96"/>
      <c r="F35" s="96"/>
      <c r="G35" s="96"/>
      <c r="H35" s="96"/>
      <c r="I35" s="96"/>
      <c r="J35" s="72"/>
      <c r="K35" s="72"/>
      <c r="L35" s="72"/>
      <c r="M35" s="72"/>
      <c r="N35" s="72"/>
      <c r="O35" s="96"/>
      <c r="P35" s="96"/>
      <c r="Q35" s="96"/>
      <c r="R35" s="96"/>
      <c r="S35" s="96"/>
      <c r="T35" s="88"/>
      <c r="U35" s="88"/>
      <c r="V35" s="88"/>
      <c r="W35" s="88"/>
      <c r="X35" s="88"/>
      <c r="Y35" s="71"/>
    </row>
    <row r="36" spans="1:25" s="8" customFormat="1" ht="16.149999999999999" customHeight="1" thickTop="1" thickBot="1" x14ac:dyDescent="0.3">
      <c r="A36" s="188"/>
      <c r="B36" s="116" t="s">
        <v>12</v>
      </c>
      <c r="C36" s="69"/>
      <c r="D36" s="69"/>
      <c r="E36" s="69"/>
      <c r="F36" s="69"/>
      <c r="G36" s="69"/>
      <c r="H36" s="69"/>
      <c r="I36" s="69"/>
      <c r="J36" s="170"/>
      <c r="K36" s="170"/>
      <c r="L36" s="170"/>
      <c r="M36" s="170"/>
      <c r="N36" s="170"/>
      <c r="O36" s="69"/>
      <c r="P36" s="69"/>
      <c r="Q36" s="69"/>
      <c r="R36" s="69"/>
      <c r="S36" s="69"/>
      <c r="T36" s="70"/>
      <c r="U36" s="70"/>
      <c r="V36" s="70"/>
      <c r="W36" s="70"/>
      <c r="X36" s="70"/>
      <c r="Y36" s="71"/>
    </row>
    <row r="37" spans="1:25" ht="16.149999999999999" customHeight="1" thickTop="1" thickBot="1" x14ac:dyDescent="0.3">
      <c r="A37" s="188"/>
      <c r="B37" s="116" t="s">
        <v>7</v>
      </c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3"/>
      <c r="U37" s="73"/>
      <c r="V37" s="73"/>
      <c r="W37" s="73"/>
      <c r="X37" s="73"/>
      <c r="Y37" s="100"/>
    </row>
    <row r="38" spans="1:25" ht="16.149999999999999" customHeight="1" thickTop="1" thickBot="1" x14ac:dyDescent="0.3">
      <c r="A38" s="188"/>
      <c r="B38" s="116" t="s">
        <v>8</v>
      </c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3"/>
      <c r="U38" s="73"/>
      <c r="V38" s="73"/>
      <c r="W38" s="73"/>
      <c r="X38" s="73"/>
      <c r="Y38" s="71"/>
    </row>
    <row r="39" spans="1:25" ht="16.149999999999999" customHeight="1" thickTop="1" thickBot="1" x14ac:dyDescent="0.3">
      <c r="A39" s="188"/>
      <c r="B39" s="117" t="s">
        <v>9</v>
      </c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6"/>
      <c r="U39" s="76"/>
      <c r="V39" s="76"/>
      <c r="W39" s="76"/>
      <c r="X39" s="76"/>
      <c r="Y39" s="77"/>
    </row>
    <row r="40" spans="1:25" ht="16.149999999999999" customHeight="1" thickTop="1" thickBot="1" x14ac:dyDescent="0.3">
      <c r="A40" s="188"/>
      <c r="B40" s="118" t="s">
        <v>14</v>
      </c>
      <c r="C40" s="102"/>
      <c r="D40" s="103"/>
      <c r="E40" s="103"/>
      <c r="F40" s="103"/>
      <c r="G40" s="103"/>
      <c r="H40" s="103"/>
      <c r="I40" s="103"/>
      <c r="J40" s="174"/>
      <c r="K40" s="174"/>
      <c r="L40" s="174"/>
      <c r="M40" s="174"/>
      <c r="N40" s="174"/>
      <c r="O40" s="103"/>
      <c r="P40" s="103"/>
      <c r="Q40" s="103"/>
      <c r="R40" s="103"/>
      <c r="S40" s="103"/>
      <c r="T40" s="104"/>
      <c r="U40" s="104"/>
      <c r="V40" s="104"/>
      <c r="W40" s="104"/>
      <c r="X40" s="104"/>
      <c r="Y40" s="105"/>
    </row>
    <row r="41" spans="1:25" ht="16.149999999999999" customHeight="1" thickTop="1" thickBot="1" x14ac:dyDescent="0.3">
      <c r="A41" s="188" t="s">
        <v>24</v>
      </c>
      <c r="B41" s="106" t="s">
        <v>10</v>
      </c>
      <c r="C41" s="106"/>
      <c r="D41" s="106"/>
      <c r="E41" s="95"/>
      <c r="F41" s="95"/>
      <c r="G41" s="95"/>
      <c r="H41" s="95"/>
      <c r="I41" s="95"/>
      <c r="J41" s="135"/>
      <c r="K41" s="135"/>
      <c r="L41" s="135"/>
      <c r="M41" s="135"/>
      <c r="N41" s="135"/>
      <c r="O41" s="95"/>
      <c r="P41" s="95"/>
      <c r="Q41" s="95"/>
      <c r="R41" s="95"/>
      <c r="S41" s="95"/>
      <c r="T41" s="84"/>
      <c r="U41" s="84"/>
      <c r="V41" s="84"/>
      <c r="W41" s="84"/>
      <c r="X41" s="84"/>
      <c r="Y41" s="84"/>
    </row>
    <row r="42" spans="1:25" ht="16.149999999999999" customHeight="1" thickTop="1" thickBot="1" x14ac:dyDescent="0.3">
      <c r="A42" s="188"/>
      <c r="B42" s="107" t="s">
        <v>11</v>
      </c>
      <c r="C42" s="107"/>
      <c r="D42" s="107"/>
      <c r="E42" s="96"/>
      <c r="F42" s="96"/>
      <c r="G42" s="96"/>
      <c r="H42" s="96"/>
      <c r="I42" s="96"/>
      <c r="J42" s="72"/>
      <c r="K42" s="72"/>
      <c r="L42" s="72"/>
      <c r="M42" s="72"/>
      <c r="N42" s="72"/>
      <c r="O42" s="96"/>
      <c r="P42" s="96"/>
      <c r="Q42" s="96"/>
      <c r="R42" s="96"/>
      <c r="S42" s="96"/>
      <c r="T42" s="88"/>
      <c r="U42" s="88"/>
      <c r="V42" s="88"/>
      <c r="W42" s="88"/>
      <c r="X42" s="88"/>
      <c r="Y42" s="88"/>
    </row>
    <row r="43" spans="1:25" ht="16.149999999999999" customHeight="1" thickTop="1" thickBot="1" x14ac:dyDescent="0.3">
      <c r="A43" s="188"/>
      <c r="B43" s="108" t="s">
        <v>12</v>
      </c>
      <c r="C43" s="108"/>
      <c r="D43" s="108"/>
      <c r="E43" s="69"/>
      <c r="F43" s="69"/>
      <c r="G43" s="69"/>
      <c r="H43" s="69"/>
      <c r="I43" s="69"/>
      <c r="J43" s="170"/>
      <c r="K43" s="170"/>
      <c r="L43" s="170"/>
      <c r="M43" s="170"/>
      <c r="N43" s="170"/>
      <c r="O43" s="69"/>
      <c r="P43" s="69"/>
      <c r="Q43" s="69"/>
      <c r="R43" s="69"/>
      <c r="S43" s="69"/>
      <c r="T43" s="70"/>
      <c r="U43" s="70"/>
      <c r="V43" s="70"/>
      <c r="W43" s="70"/>
      <c r="X43" s="70"/>
      <c r="Y43" s="70"/>
    </row>
    <row r="44" spans="1:25" ht="16.5" thickTop="1" thickBot="1" x14ac:dyDescent="0.3">
      <c r="A44" s="188"/>
      <c r="B44" s="109" t="s">
        <v>7</v>
      </c>
      <c r="C44" s="109"/>
      <c r="D44" s="109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3"/>
      <c r="U44" s="73"/>
      <c r="V44" s="73"/>
      <c r="W44" s="73"/>
      <c r="X44" s="73"/>
      <c r="Y44" s="73"/>
    </row>
    <row r="45" spans="1:25" ht="16.5" thickTop="1" thickBot="1" x14ac:dyDescent="0.3">
      <c r="A45" s="188"/>
      <c r="B45" s="109" t="s">
        <v>8</v>
      </c>
      <c r="C45" s="109"/>
      <c r="D45" s="109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3"/>
      <c r="U45" s="73"/>
      <c r="V45" s="73"/>
      <c r="W45" s="73"/>
      <c r="X45" s="73"/>
      <c r="Y45" s="73"/>
    </row>
    <row r="46" spans="1:25" ht="16.5" thickTop="1" thickBot="1" x14ac:dyDescent="0.3">
      <c r="A46" s="188"/>
      <c r="B46" s="110" t="s">
        <v>9</v>
      </c>
      <c r="C46" s="110"/>
      <c r="D46" s="110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5"/>
      <c r="S46" s="75"/>
      <c r="T46" s="76"/>
      <c r="U46" s="76"/>
      <c r="V46" s="76"/>
      <c r="W46" s="76"/>
      <c r="X46" s="76"/>
      <c r="Y46" s="76"/>
    </row>
    <row r="47" spans="1:25" ht="16.5" thickTop="1" thickBot="1" x14ac:dyDescent="0.3">
      <c r="A47" s="188"/>
      <c r="B47" s="118" t="s">
        <v>14</v>
      </c>
      <c r="C47" s="111"/>
      <c r="D47" s="111"/>
      <c r="E47" s="103"/>
      <c r="F47" s="103"/>
      <c r="G47" s="103"/>
      <c r="H47" s="103"/>
      <c r="I47" s="103"/>
      <c r="J47" s="174"/>
      <c r="K47" s="174"/>
      <c r="L47" s="174"/>
      <c r="M47" s="174"/>
      <c r="N47" s="174"/>
      <c r="O47" s="103"/>
      <c r="P47" s="103"/>
      <c r="Q47" s="103"/>
      <c r="R47" s="103"/>
      <c r="S47" s="103"/>
      <c r="T47" s="104"/>
      <c r="U47" s="104"/>
      <c r="V47" s="104"/>
      <c r="W47" s="104"/>
      <c r="X47" s="104"/>
      <c r="Y47" s="104"/>
    </row>
    <row r="48" spans="1:25" ht="15.75" thickTop="1" x14ac:dyDescent="0.25"/>
    <row r="49" spans="1:5" x14ac:dyDescent="0.25">
      <c r="A49" t="s">
        <v>42</v>
      </c>
      <c r="B49" s="122" t="s">
        <v>43</v>
      </c>
    </row>
    <row r="50" spans="1:5" x14ac:dyDescent="0.25">
      <c r="A50" s="123" t="s">
        <v>166</v>
      </c>
      <c r="B50" s="124" t="s">
        <v>133</v>
      </c>
      <c r="E50" s="125"/>
    </row>
    <row r="51" spans="1:5" x14ac:dyDescent="0.25">
      <c r="A51" s="126" t="s">
        <v>176</v>
      </c>
      <c r="B51" s="127" t="s">
        <v>107</v>
      </c>
      <c r="E51" s="125"/>
    </row>
    <row r="52" spans="1:5" x14ac:dyDescent="0.25">
      <c r="A52" s="126"/>
      <c r="B52" s="127"/>
      <c r="E52" s="125"/>
    </row>
    <row r="53" spans="1:5" x14ac:dyDescent="0.25">
      <c r="A53" s="126"/>
      <c r="B53" s="127"/>
      <c r="E53" s="125"/>
    </row>
    <row r="54" spans="1:5" x14ac:dyDescent="0.25">
      <c r="A54" s="126"/>
      <c r="B54" s="127"/>
      <c r="E54" s="125"/>
    </row>
    <row r="55" spans="1:5" x14ac:dyDescent="0.25">
      <c r="A55" s="128"/>
      <c r="B55" s="129"/>
      <c r="E55" s="125"/>
    </row>
    <row r="56" spans="1:5" x14ac:dyDescent="0.25">
      <c r="A56" s="128"/>
      <c r="B56" s="129"/>
      <c r="E56" s="125"/>
    </row>
    <row r="57" spans="1:5" x14ac:dyDescent="0.25">
      <c r="A57" s="128"/>
      <c r="B57" s="129"/>
      <c r="E57" s="125"/>
    </row>
    <row r="58" spans="1:5" x14ac:dyDescent="0.25">
      <c r="A58" s="128"/>
      <c r="B58" s="129"/>
      <c r="E58" s="125"/>
    </row>
    <row r="59" spans="1:5" x14ac:dyDescent="0.25">
      <c r="A59" s="128"/>
      <c r="B59" s="129"/>
      <c r="E59" s="125"/>
    </row>
    <row r="60" spans="1:5" x14ac:dyDescent="0.25">
      <c r="A60" s="128"/>
      <c r="B60" s="129"/>
      <c r="E60" s="125"/>
    </row>
    <row r="61" spans="1:5" x14ac:dyDescent="0.25">
      <c r="A61" s="128"/>
      <c r="B61" s="129"/>
      <c r="E61" s="125"/>
    </row>
    <row r="62" spans="1:5" x14ac:dyDescent="0.25">
      <c r="A62" s="128"/>
      <c r="B62" s="129"/>
      <c r="E62" s="125"/>
    </row>
    <row r="63" spans="1:5" x14ac:dyDescent="0.25">
      <c r="A63" s="128"/>
      <c r="B63" s="129"/>
      <c r="E63" s="125"/>
    </row>
    <row r="64" spans="1:5" x14ac:dyDescent="0.25">
      <c r="A64" s="128"/>
      <c r="B64" s="129"/>
      <c r="E64" s="125"/>
    </row>
    <row r="65" spans="1:5" x14ac:dyDescent="0.25">
      <c r="A65" s="128"/>
      <c r="B65" s="129"/>
      <c r="E65" s="125"/>
    </row>
    <row r="66" spans="1:5" x14ac:dyDescent="0.25">
      <c r="A66" s="128"/>
      <c r="B66" s="129"/>
      <c r="E66" s="125"/>
    </row>
    <row r="67" spans="1:5" x14ac:dyDescent="0.25">
      <c r="A67" s="128"/>
      <c r="B67" s="129"/>
      <c r="E67" s="125"/>
    </row>
    <row r="68" spans="1:5" x14ac:dyDescent="0.25">
      <c r="A68" s="128"/>
      <c r="B68" s="129"/>
    </row>
    <row r="69" spans="1:5" x14ac:dyDescent="0.25">
      <c r="A69" s="128"/>
      <c r="B69" s="129"/>
    </row>
    <row r="70" spans="1:5" x14ac:dyDescent="0.25">
      <c r="A70" s="130"/>
      <c r="B70" s="131"/>
    </row>
  </sheetData>
  <mergeCells count="8">
    <mergeCell ref="A27:A33"/>
    <mergeCell ref="A34:A40"/>
    <mergeCell ref="A41:A47"/>
    <mergeCell ref="A1:I3"/>
    <mergeCell ref="A4:B4"/>
    <mergeCell ref="A6:A12"/>
    <mergeCell ref="A13:A19"/>
    <mergeCell ref="A20:A26"/>
  </mergeCells>
  <conditionalFormatting sqref="D6:Y6">
    <cfRule type="containsText" dxfId="148" priority="14" operator="containsText" text=" Анікєєв">
      <formula>NOT(ISERROR(SEARCH(" Анікєєв",D6)))</formula>
    </cfRule>
  </conditionalFormatting>
  <conditionalFormatting sqref="D7:X7">
    <cfRule type="containsText" dxfId="147" priority="13" operator="containsText" text=" Анікєєв">
      <formula>NOT(ISERROR(SEARCH(" Анікєєв",D7)))</formula>
    </cfRule>
  </conditionalFormatting>
  <conditionalFormatting sqref="D8:X8">
    <cfRule type="containsText" dxfId="146" priority="12" operator="containsText" text=" Анікєєв">
      <formula>NOT(ISERROR(SEARCH(" Анікєєв",D8)))</formula>
    </cfRule>
  </conditionalFormatting>
  <conditionalFormatting sqref="D9:X9">
    <cfRule type="containsText" dxfId="145" priority="11" operator="containsText" text=" Анікєєв">
      <formula>NOT(ISERROR(SEARCH(" Анікєєв",D9)))</formula>
    </cfRule>
  </conditionalFormatting>
  <conditionalFormatting sqref="D10:X11">
    <cfRule type="containsText" dxfId="144" priority="10" operator="containsText" text=" Анікєєв">
      <formula>NOT(ISERROR(SEARCH(" Анікєєв",D10)))</formula>
    </cfRule>
  </conditionalFormatting>
  <conditionalFormatting sqref="D12:X12">
    <cfRule type="containsText" dxfId="143" priority="9" operator="containsText" text=" Анікєєв">
      <formula>NOT(ISERROR(SEARCH(" Анікєєв",D12)))</formula>
    </cfRule>
  </conditionalFormatting>
  <conditionalFormatting sqref="D13:X14 D18:X19 L15:X17 D15:K15">
    <cfRule type="containsText" dxfId="142" priority="8" operator="containsText" text=" Анікєєв">
      <formula>NOT(ISERROR(SEARCH(" Анікєєв",D13)))</formula>
    </cfRule>
  </conditionalFormatting>
  <conditionalFormatting sqref="D20:H22 D25:H25 E23:H24 I20:X25">
    <cfRule type="containsText" dxfId="141" priority="7" operator="containsText" text=" Анікєєв">
      <formula>NOT(ISERROR(SEARCH(" Анікєєв",D20)))</formula>
    </cfRule>
  </conditionalFormatting>
  <conditionalFormatting sqref="D27:X32">
    <cfRule type="containsText" dxfId="140" priority="6" operator="containsText" text=" Анікєєв">
      <formula>NOT(ISERROR(SEARCH(" Анікєєв",D27)))</formula>
    </cfRule>
  </conditionalFormatting>
  <conditionalFormatting sqref="D34:X34">
    <cfRule type="containsText" dxfId="139" priority="5" operator="containsText" text=" Анікєєв">
      <formula>NOT(ISERROR(SEARCH(" Анікєєв",D34)))</formula>
    </cfRule>
  </conditionalFormatting>
  <conditionalFormatting sqref="D33:X33">
    <cfRule type="containsText" dxfId="138" priority="4" operator="containsText" text=" Анікєєв">
      <formula>NOT(ISERROR(SEARCH(" Анікєєв",D33)))</formula>
    </cfRule>
  </conditionalFormatting>
  <conditionalFormatting sqref="C34:C40">
    <cfRule type="containsText" dxfId="137" priority="3" operator="containsText" text=" Анікєєв">
      <formula>NOT(ISERROR(SEARCH(" Анікєєв",C34)))</formula>
    </cfRule>
  </conditionalFormatting>
  <conditionalFormatting sqref="B41:Y41">
    <cfRule type="containsText" dxfId="136" priority="2" operator="containsText" text=" Анікєєв">
      <formula>NOT(ISERROR(SEARCH(" Анікєєв",B41)))</formula>
    </cfRule>
  </conditionalFormatting>
  <conditionalFormatting sqref="C16:K17">
    <cfRule type="containsText" dxfId="135" priority="1" operator="containsText" text=" Анікєєв">
      <formula>NOT(ISERROR(SEARCH(" Анікєєв",C16)))</formula>
    </cfRule>
  </conditionalFormatting>
  <pageMargins left="0.70866141732283472" right="0.70866141732283472" top="0.74803149606299213" bottom="0.74803149606299213" header="0.31496062992125984" footer="0.31496062992125984"/>
  <pageSetup paperSize="9" scale="52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Y70"/>
  <sheetViews>
    <sheetView zoomScale="85" zoomScaleNormal="85" workbookViewId="0">
      <pane xSplit="2" ySplit="5" topLeftCell="C6" activePane="bottomRight" state="frozenSplit"/>
      <selection pane="topRight" activeCell="F1" sqref="F1"/>
      <selection pane="bottomLeft" activeCell="A30" sqref="A30"/>
      <selection pane="bottomRight" activeCell="L18" sqref="L18"/>
    </sheetView>
  </sheetViews>
  <sheetFormatPr defaultRowHeight="15" x14ac:dyDescent="0.25"/>
  <cols>
    <col min="1" max="1" width="15.5703125" customWidth="1"/>
    <col min="2" max="2" width="15.42578125" customWidth="1"/>
    <col min="3" max="3" width="28.140625" customWidth="1"/>
    <col min="4" max="6" width="24.28515625" customWidth="1"/>
    <col min="7" max="7" width="24.28515625" bestFit="1" customWidth="1"/>
    <col min="8" max="8" width="27.7109375" customWidth="1"/>
    <col min="9" max="11" width="25" customWidth="1"/>
    <col min="12" max="12" width="24.28515625" bestFit="1" customWidth="1"/>
    <col min="13" max="14" width="25" bestFit="1" customWidth="1"/>
    <col min="15" max="18" width="24.28515625" bestFit="1" customWidth="1"/>
    <col min="19" max="21" width="25" bestFit="1" customWidth="1"/>
    <col min="22" max="22" width="25" customWidth="1"/>
    <col min="23" max="23" width="25" bestFit="1" customWidth="1"/>
    <col min="24" max="24" width="25" customWidth="1"/>
    <col min="25" max="25" width="25" bestFit="1" customWidth="1"/>
  </cols>
  <sheetData>
    <row r="1" spans="1:25" ht="15" customHeight="1" x14ac:dyDescent="0.25">
      <c r="A1" s="189" t="s">
        <v>152</v>
      </c>
      <c r="B1" s="189"/>
      <c r="C1" s="189"/>
      <c r="D1" s="189"/>
      <c r="E1" s="189"/>
      <c r="F1" s="189"/>
      <c r="G1" s="189"/>
      <c r="H1" s="189"/>
      <c r="I1" s="189"/>
      <c r="J1" s="9"/>
      <c r="K1" s="9"/>
      <c r="L1" s="9"/>
      <c r="M1" s="9"/>
      <c r="N1" s="9"/>
      <c r="O1" s="9"/>
      <c r="P1" s="9"/>
      <c r="Q1" s="9"/>
      <c r="R1" s="9"/>
    </row>
    <row r="2" spans="1:25" x14ac:dyDescent="0.25">
      <c r="A2" s="189"/>
      <c r="B2" s="189"/>
      <c r="C2" s="189"/>
      <c r="D2" s="189"/>
      <c r="E2" s="189"/>
      <c r="F2" s="189"/>
      <c r="G2" s="189"/>
      <c r="H2" s="189"/>
      <c r="I2" s="189"/>
      <c r="J2" s="9"/>
      <c r="K2" s="9"/>
      <c r="L2" s="9"/>
      <c r="M2" s="9"/>
      <c r="N2" s="9"/>
      <c r="O2" s="9"/>
      <c r="P2" s="9"/>
      <c r="Q2" s="9"/>
      <c r="R2" s="9"/>
    </row>
    <row r="3" spans="1:25" ht="15.75" thickBot="1" x14ac:dyDescent="0.3">
      <c r="A3" s="190"/>
      <c r="B3" s="190"/>
      <c r="C3" s="190"/>
      <c r="D3" s="190"/>
      <c r="E3" s="190"/>
      <c r="F3" s="190"/>
      <c r="G3" s="190"/>
      <c r="H3" s="190"/>
      <c r="I3" s="190"/>
      <c r="J3" s="9"/>
      <c r="K3" s="9"/>
      <c r="L3" s="9"/>
      <c r="M3" s="9"/>
      <c r="N3" s="9"/>
      <c r="O3" s="9"/>
      <c r="P3" s="9"/>
      <c r="Q3" s="9"/>
      <c r="R3" s="9"/>
    </row>
    <row r="4" spans="1:25" s="113" customFormat="1" ht="22.5" thickTop="1" thickBot="1" x14ac:dyDescent="0.35">
      <c r="A4" s="191" t="s">
        <v>13</v>
      </c>
      <c r="B4" s="192"/>
      <c r="C4" s="1">
        <v>1</v>
      </c>
      <c r="D4" s="1">
        <v>2</v>
      </c>
      <c r="E4" s="1">
        <v>3</v>
      </c>
      <c r="F4" s="1">
        <v>4</v>
      </c>
      <c r="G4" s="1">
        <v>5</v>
      </c>
      <c r="H4" s="1">
        <v>6</v>
      </c>
      <c r="I4" s="1">
        <v>7</v>
      </c>
      <c r="J4" s="1">
        <v>8</v>
      </c>
      <c r="K4" s="1">
        <v>9</v>
      </c>
      <c r="L4" s="1">
        <v>10</v>
      </c>
      <c r="M4" s="1">
        <v>11</v>
      </c>
      <c r="N4" s="1">
        <v>12</v>
      </c>
      <c r="O4" s="1">
        <v>13</v>
      </c>
      <c r="P4" s="1">
        <v>14</v>
      </c>
      <c r="Q4" s="1">
        <v>15</v>
      </c>
      <c r="R4" s="1">
        <v>16</v>
      </c>
      <c r="S4" s="1">
        <v>17</v>
      </c>
      <c r="T4" s="112">
        <v>18</v>
      </c>
      <c r="U4" s="112">
        <v>19</v>
      </c>
      <c r="V4" s="112">
        <v>20</v>
      </c>
      <c r="W4" s="112">
        <v>21</v>
      </c>
      <c r="X4" s="112">
        <v>22</v>
      </c>
      <c r="Y4" s="112">
        <v>23</v>
      </c>
    </row>
    <row r="5" spans="1:25" ht="21.75" thickTop="1" thickBot="1" x14ac:dyDescent="0.35">
      <c r="A5" s="2" t="s">
        <v>0</v>
      </c>
      <c r="B5" s="3" t="s">
        <v>1</v>
      </c>
      <c r="C5" s="4" t="s">
        <v>49</v>
      </c>
      <c r="D5" s="4" t="s">
        <v>50</v>
      </c>
      <c r="E5" s="4" t="s">
        <v>51</v>
      </c>
      <c r="F5" s="4" t="s">
        <v>52</v>
      </c>
      <c r="G5" s="4" t="s">
        <v>48</v>
      </c>
      <c r="H5" s="4" t="s">
        <v>47</v>
      </c>
      <c r="I5" s="4" t="s">
        <v>46</v>
      </c>
      <c r="J5" s="4" t="s">
        <v>45</v>
      </c>
      <c r="K5" s="4" t="s">
        <v>53</v>
      </c>
      <c r="L5" s="4" t="s">
        <v>54</v>
      </c>
      <c r="M5" s="4" t="s">
        <v>61</v>
      </c>
      <c r="N5" s="4" t="s">
        <v>60</v>
      </c>
      <c r="O5" s="4" t="s">
        <v>59</v>
      </c>
      <c r="P5" s="4" t="s">
        <v>58</v>
      </c>
      <c r="Q5" s="4" t="s">
        <v>57</v>
      </c>
      <c r="R5" s="4" t="s">
        <v>56</v>
      </c>
      <c r="S5" s="4" t="s">
        <v>55</v>
      </c>
      <c r="T5" s="114"/>
      <c r="U5" s="114"/>
      <c r="V5" s="114"/>
      <c r="W5" s="114"/>
      <c r="X5" s="114"/>
      <c r="Y5" s="114"/>
    </row>
    <row r="6" spans="1:25" s="8" customFormat="1" ht="16.149999999999999" customHeight="1" thickTop="1" thickBot="1" x14ac:dyDescent="0.3">
      <c r="A6" s="193" t="s">
        <v>2</v>
      </c>
      <c r="B6" s="115" t="s">
        <v>10</v>
      </c>
      <c r="C6" s="65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7"/>
      <c r="U6" s="67"/>
      <c r="V6" s="67"/>
      <c r="W6" s="67"/>
      <c r="X6" s="67"/>
      <c r="Y6" s="67"/>
    </row>
    <row r="7" spans="1:25" s="8" customFormat="1" ht="16.149999999999999" customHeight="1" thickTop="1" thickBot="1" x14ac:dyDescent="0.3">
      <c r="A7" s="193"/>
      <c r="B7" s="116" t="s">
        <v>11</v>
      </c>
      <c r="C7" s="68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69"/>
      <c r="S7" s="69"/>
      <c r="T7" s="70"/>
      <c r="U7" s="70"/>
      <c r="V7" s="70"/>
      <c r="W7" s="70"/>
      <c r="X7" s="70"/>
      <c r="Y7" s="71"/>
    </row>
    <row r="8" spans="1:25" s="8" customFormat="1" ht="16.149999999999999" customHeight="1" thickTop="1" thickBot="1" x14ac:dyDescent="0.3">
      <c r="A8" s="193"/>
      <c r="B8" s="116" t="s">
        <v>12</v>
      </c>
      <c r="C8" s="68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3"/>
      <c r="U8" s="73"/>
      <c r="V8" s="73"/>
      <c r="W8" s="73"/>
      <c r="X8" s="73"/>
      <c r="Y8" s="71"/>
    </row>
    <row r="9" spans="1:25" s="8" customFormat="1" ht="16.149999999999999" customHeight="1" thickTop="1" thickBot="1" x14ac:dyDescent="0.3">
      <c r="A9" s="193"/>
      <c r="B9" s="116" t="s">
        <v>7</v>
      </c>
      <c r="C9" s="68"/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3"/>
      <c r="U9" s="73"/>
      <c r="V9" s="73"/>
      <c r="W9" s="73"/>
      <c r="X9" s="73"/>
      <c r="Y9" s="71"/>
    </row>
    <row r="10" spans="1:25" s="8" customFormat="1" ht="16.149999999999999" customHeight="1" thickTop="1" thickBot="1" x14ac:dyDescent="0.3">
      <c r="A10" s="193"/>
      <c r="B10" s="116" t="s">
        <v>8</v>
      </c>
      <c r="C10" s="68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3"/>
      <c r="U10" s="73"/>
      <c r="V10" s="73"/>
      <c r="W10" s="73"/>
      <c r="X10" s="73"/>
      <c r="Y10" s="71"/>
    </row>
    <row r="11" spans="1:25" s="8" customFormat="1" ht="16.149999999999999" customHeight="1" thickTop="1" thickBot="1" x14ac:dyDescent="0.3">
      <c r="A11" s="193"/>
      <c r="B11" s="117" t="s">
        <v>9</v>
      </c>
      <c r="C11" s="74" t="s">
        <v>173</v>
      </c>
      <c r="D11" s="75"/>
      <c r="E11" s="75"/>
      <c r="F11" s="74" t="s">
        <v>241</v>
      </c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6"/>
      <c r="U11" s="76"/>
      <c r="V11" s="76"/>
      <c r="W11" s="76"/>
      <c r="X11" s="76"/>
      <c r="Y11" s="77"/>
    </row>
    <row r="12" spans="1:25" s="11" customFormat="1" ht="16.149999999999999" customHeight="1" thickTop="1" thickBot="1" x14ac:dyDescent="0.3">
      <c r="A12" s="193"/>
      <c r="B12" s="118" t="s">
        <v>14</v>
      </c>
      <c r="C12" s="78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80"/>
      <c r="U12" s="80"/>
      <c r="V12" s="80"/>
      <c r="W12" s="80"/>
      <c r="X12" s="80"/>
      <c r="Y12" s="81"/>
    </row>
    <row r="13" spans="1:25" s="11" customFormat="1" ht="16.149999999999999" customHeight="1" thickTop="1" thickBot="1" x14ac:dyDescent="0.3">
      <c r="A13" s="194" t="s">
        <v>3</v>
      </c>
      <c r="B13" s="97" t="s">
        <v>10</v>
      </c>
      <c r="C13" s="82"/>
      <c r="D13" s="83"/>
      <c r="E13" s="83"/>
      <c r="F13" s="83"/>
      <c r="G13" s="83"/>
      <c r="H13" s="83"/>
      <c r="I13" s="83"/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4"/>
      <c r="U13" s="84"/>
      <c r="V13" s="84"/>
      <c r="W13" s="84"/>
      <c r="X13" s="84"/>
      <c r="Y13" s="85"/>
    </row>
    <row r="14" spans="1:25" s="11" customFormat="1" ht="16.5" thickTop="1" thickBot="1" x14ac:dyDescent="0.3">
      <c r="A14" s="194"/>
      <c r="B14" s="119" t="s">
        <v>11</v>
      </c>
      <c r="C14" s="86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8"/>
      <c r="U14" s="88"/>
      <c r="V14" s="88"/>
      <c r="W14" s="88"/>
      <c r="X14" s="88"/>
      <c r="Y14" s="71"/>
    </row>
    <row r="15" spans="1:25" s="11" customFormat="1" ht="16.5" thickTop="1" thickBot="1" x14ac:dyDescent="0.3">
      <c r="A15" s="194"/>
      <c r="B15" s="119" t="s">
        <v>12</v>
      </c>
      <c r="C15" s="89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73"/>
      <c r="U15" s="73"/>
      <c r="V15" s="73"/>
      <c r="W15" s="73"/>
      <c r="X15" s="73"/>
      <c r="Y15" s="71"/>
    </row>
    <row r="16" spans="1:25" s="11" customFormat="1" ht="16.149999999999999" customHeight="1" thickTop="1" thickBot="1" x14ac:dyDescent="0.3">
      <c r="A16" s="194"/>
      <c r="B16" s="119" t="s">
        <v>7</v>
      </c>
      <c r="C16" s="86"/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8"/>
      <c r="U16" s="88"/>
      <c r="V16" s="88"/>
      <c r="W16" s="88"/>
      <c r="X16" s="88"/>
      <c r="Y16" s="71"/>
    </row>
    <row r="17" spans="1:25" s="11" customFormat="1" ht="16.149999999999999" customHeight="1" thickTop="1" thickBot="1" x14ac:dyDescent="0.3">
      <c r="A17" s="194"/>
      <c r="B17" s="119" t="s">
        <v>8</v>
      </c>
      <c r="C17" s="86"/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8"/>
      <c r="U17" s="88"/>
      <c r="V17" s="88"/>
      <c r="W17" s="88"/>
      <c r="X17" s="88"/>
      <c r="Y17" s="71"/>
    </row>
    <row r="18" spans="1:25" s="8" customFormat="1" ht="16.149999999999999" customHeight="1" thickTop="1" thickBot="1" x14ac:dyDescent="0.3">
      <c r="A18" s="194"/>
      <c r="B18" s="120" t="s">
        <v>9</v>
      </c>
      <c r="C18" s="86"/>
      <c r="D18" s="91"/>
      <c r="E18" s="91"/>
      <c r="F18" s="91"/>
      <c r="G18" s="91"/>
      <c r="H18" s="91"/>
      <c r="I18" s="91"/>
      <c r="J18" s="91"/>
      <c r="K18" s="91"/>
      <c r="L18" s="91"/>
      <c r="M18" s="91"/>
      <c r="N18" s="91"/>
      <c r="O18" s="91"/>
      <c r="P18" s="91"/>
      <c r="Q18" s="91"/>
      <c r="R18" s="91"/>
      <c r="S18" s="91"/>
      <c r="T18" s="92"/>
      <c r="U18" s="92"/>
      <c r="V18" s="92"/>
      <c r="W18" s="92"/>
      <c r="X18" s="92"/>
      <c r="Y18" s="77"/>
    </row>
    <row r="19" spans="1:25" s="8" customFormat="1" ht="16.149999999999999" customHeight="1" thickTop="1" thickBot="1" x14ac:dyDescent="0.3">
      <c r="A19" s="194"/>
      <c r="B19" s="121" t="s">
        <v>14</v>
      </c>
      <c r="C19" s="93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80"/>
      <c r="U19" s="80"/>
      <c r="V19" s="80"/>
      <c r="W19" s="80"/>
      <c r="X19" s="80"/>
      <c r="Y19" s="81"/>
    </row>
    <row r="20" spans="1:25" s="8" customFormat="1" ht="16.149999999999999" customHeight="1" thickTop="1" thickBot="1" x14ac:dyDescent="0.3">
      <c r="A20" s="193" t="s">
        <v>4</v>
      </c>
      <c r="B20" s="115" t="s">
        <v>10</v>
      </c>
      <c r="C20" s="65"/>
      <c r="D20" s="95"/>
      <c r="E20" s="95"/>
      <c r="F20" s="95"/>
      <c r="G20" s="95"/>
      <c r="H20" s="95"/>
      <c r="I20" s="163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84"/>
      <c r="U20" s="84"/>
      <c r="V20" s="84"/>
      <c r="W20" s="84"/>
      <c r="X20" s="84"/>
      <c r="Y20" s="85"/>
    </row>
    <row r="21" spans="1:25" s="8" customFormat="1" ht="16.149999999999999" customHeight="1" thickTop="1" thickBot="1" x14ac:dyDescent="0.3">
      <c r="A21" s="193"/>
      <c r="B21" s="116" t="s">
        <v>11</v>
      </c>
      <c r="C21" s="68"/>
      <c r="D21" s="96"/>
      <c r="E21" s="96"/>
      <c r="F21" s="96"/>
      <c r="G21" s="96"/>
      <c r="H21" s="96"/>
      <c r="I21" s="164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88"/>
      <c r="U21" s="88"/>
      <c r="V21" s="88"/>
      <c r="W21" s="88"/>
      <c r="X21" s="88"/>
      <c r="Y21" s="71"/>
    </row>
    <row r="22" spans="1:25" s="8" customFormat="1" ht="16.149999999999999" customHeight="1" thickTop="1" thickBot="1" x14ac:dyDescent="0.3">
      <c r="A22" s="193"/>
      <c r="B22" s="116" t="s">
        <v>12</v>
      </c>
      <c r="C22" s="68" t="s">
        <v>188</v>
      </c>
      <c r="D22" s="68" t="s">
        <v>188</v>
      </c>
      <c r="E22" s="68" t="s">
        <v>188</v>
      </c>
      <c r="F22" s="155" t="s">
        <v>188</v>
      </c>
      <c r="G22" s="68" t="s">
        <v>188</v>
      </c>
      <c r="H22" s="68" t="s">
        <v>188</v>
      </c>
      <c r="I22" s="165" t="s">
        <v>188</v>
      </c>
      <c r="J22" s="96" t="s">
        <v>188</v>
      </c>
      <c r="K22" s="96"/>
      <c r="L22" s="96"/>
      <c r="M22" s="96"/>
      <c r="N22" s="96"/>
      <c r="O22" s="96"/>
      <c r="P22" s="96"/>
      <c r="Q22" s="96"/>
      <c r="R22" s="96"/>
      <c r="S22" s="96"/>
      <c r="T22" s="88"/>
      <c r="U22" s="88"/>
      <c r="V22" s="88"/>
      <c r="W22" s="88"/>
      <c r="X22" s="88"/>
      <c r="Y22" s="71"/>
    </row>
    <row r="23" spans="1:25" s="8" customFormat="1" ht="16.149999999999999" customHeight="1" thickTop="1" thickBot="1" x14ac:dyDescent="0.3">
      <c r="A23" s="193"/>
      <c r="B23" s="116" t="s">
        <v>7</v>
      </c>
      <c r="C23" s="68" t="s">
        <v>189</v>
      </c>
      <c r="D23" s="68" t="s">
        <v>189</v>
      </c>
      <c r="E23" s="68" t="s">
        <v>189</v>
      </c>
      <c r="F23" s="155" t="s">
        <v>189</v>
      </c>
      <c r="G23" s="68" t="s">
        <v>189</v>
      </c>
      <c r="H23" s="68" t="s">
        <v>189</v>
      </c>
      <c r="I23" s="165" t="s">
        <v>189</v>
      </c>
      <c r="J23" s="96" t="s">
        <v>189</v>
      </c>
      <c r="K23" s="96"/>
      <c r="L23" s="96"/>
      <c r="M23" s="96"/>
      <c r="N23" s="96"/>
      <c r="O23" s="96"/>
      <c r="P23" s="96"/>
      <c r="Q23" s="96"/>
      <c r="R23" s="96"/>
      <c r="S23" s="96"/>
      <c r="T23" s="88"/>
      <c r="U23" s="88"/>
      <c r="V23" s="88"/>
      <c r="W23" s="88"/>
      <c r="X23" s="88"/>
      <c r="Y23" s="71"/>
    </row>
    <row r="24" spans="1:25" s="8" customFormat="1" ht="16.149999999999999" customHeight="1" thickTop="1" thickBot="1" x14ac:dyDescent="0.3">
      <c r="A24" s="193"/>
      <c r="B24" s="116" t="s">
        <v>8</v>
      </c>
      <c r="C24" s="68" t="s">
        <v>190</v>
      </c>
      <c r="D24" s="68" t="s">
        <v>190</v>
      </c>
      <c r="E24" s="68" t="s">
        <v>190</v>
      </c>
      <c r="F24" s="155" t="s">
        <v>190</v>
      </c>
      <c r="G24" s="68" t="s">
        <v>190</v>
      </c>
      <c r="H24" s="68" t="s">
        <v>190</v>
      </c>
      <c r="I24" s="165" t="s">
        <v>190</v>
      </c>
      <c r="J24" s="72" t="s">
        <v>190</v>
      </c>
      <c r="K24" s="72"/>
      <c r="L24" s="72"/>
      <c r="M24" s="72"/>
      <c r="N24" s="72"/>
      <c r="O24" s="72"/>
      <c r="P24" s="72"/>
      <c r="Q24" s="72"/>
      <c r="R24" s="72"/>
      <c r="S24" s="72"/>
      <c r="T24" s="73"/>
      <c r="U24" s="73"/>
      <c r="V24" s="73"/>
      <c r="W24" s="73"/>
      <c r="X24" s="73"/>
      <c r="Y24" s="71"/>
    </row>
    <row r="25" spans="1:25" s="11" customFormat="1" ht="16.149999999999999" customHeight="1" thickTop="1" thickBot="1" x14ac:dyDescent="0.3">
      <c r="A25" s="193"/>
      <c r="B25" s="116" t="s">
        <v>9</v>
      </c>
      <c r="C25" s="68"/>
      <c r="D25" s="96"/>
      <c r="E25" s="96"/>
      <c r="F25" s="96"/>
      <c r="G25" s="96"/>
      <c r="H25" s="96"/>
      <c r="I25" s="164"/>
      <c r="J25" s="96"/>
      <c r="K25" s="96"/>
      <c r="L25" s="96"/>
      <c r="M25" s="96"/>
      <c r="N25" s="96"/>
      <c r="O25" s="96"/>
      <c r="P25" s="96"/>
      <c r="Q25" s="96"/>
      <c r="R25" s="96"/>
      <c r="S25" s="96"/>
      <c r="T25" s="88"/>
      <c r="U25" s="88"/>
      <c r="V25" s="88"/>
      <c r="W25" s="88"/>
      <c r="X25" s="88"/>
      <c r="Y25" s="71"/>
    </row>
    <row r="26" spans="1:25" s="11" customFormat="1" ht="16.149999999999999" customHeight="1" thickTop="1" thickBot="1" x14ac:dyDescent="0.3">
      <c r="A26" s="193"/>
      <c r="B26" s="118" t="s">
        <v>14</v>
      </c>
      <c r="C26" s="78"/>
      <c r="D26" s="79"/>
      <c r="E26" s="79"/>
      <c r="F26" s="79"/>
      <c r="G26" s="79"/>
      <c r="H26" s="79"/>
      <c r="I26" s="166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80"/>
      <c r="U26" s="80"/>
      <c r="V26" s="80"/>
      <c r="W26" s="80"/>
      <c r="X26" s="80"/>
      <c r="Y26" s="81"/>
    </row>
    <row r="27" spans="1:25" s="11" customFormat="1" ht="16.149999999999999" customHeight="1" thickTop="1" thickBot="1" x14ac:dyDescent="0.3">
      <c r="A27" s="194" t="s">
        <v>5</v>
      </c>
      <c r="B27" s="97" t="s">
        <v>10</v>
      </c>
      <c r="C27" s="97"/>
      <c r="D27" s="98"/>
      <c r="E27" s="98"/>
      <c r="F27" s="98"/>
      <c r="G27" s="98"/>
      <c r="H27" s="98"/>
      <c r="I27" s="167"/>
      <c r="J27" s="98"/>
      <c r="K27" s="98"/>
      <c r="L27" s="98"/>
      <c r="M27" s="98"/>
      <c r="N27" s="98"/>
      <c r="O27" s="98"/>
      <c r="P27" s="98"/>
      <c r="Q27" s="98"/>
      <c r="R27" s="98"/>
      <c r="S27" s="98"/>
      <c r="T27" s="67"/>
      <c r="U27" s="67"/>
      <c r="V27" s="67"/>
      <c r="W27" s="67"/>
      <c r="X27" s="67"/>
      <c r="Y27" s="85"/>
    </row>
    <row r="28" spans="1:25" s="11" customFormat="1" ht="16.149999999999999" customHeight="1" thickTop="1" thickBot="1" x14ac:dyDescent="0.3">
      <c r="A28" s="194"/>
      <c r="B28" s="119" t="s">
        <v>11</v>
      </c>
      <c r="C28" s="86"/>
      <c r="D28" s="87"/>
      <c r="E28" s="87"/>
      <c r="F28" s="87"/>
      <c r="G28" s="87"/>
      <c r="H28" s="87"/>
      <c r="I28" s="164"/>
      <c r="J28" s="87"/>
      <c r="K28" s="87"/>
      <c r="L28" s="87"/>
      <c r="M28" s="87"/>
      <c r="N28" s="87"/>
      <c r="O28" s="87"/>
      <c r="P28" s="87"/>
      <c r="Q28" s="87"/>
      <c r="R28" s="87"/>
      <c r="S28" s="87"/>
      <c r="T28" s="88"/>
      <c r="U28" s="88"/>
      <c r="V28" s="88"/>
      <c r="W28" s="88"/>
      <c r="X28" s="88"/>
      <c r="Y28" s="71"/>
    </row>
    <row r="29" spans="1:25" s="11" customFormat="1" ht="16.149999999999999" customHeight="1" thickTop="1" thickBot="1" x14ac:dyDescent="0.3">
      <c r="A29" s="194"/>
      <c r="B29" s="119" t="s">
        <v>12</v>
      </c>
      <c r="C29" s="86"/>
      <c r="D29" s="87"/>
      <c r="E29" s="87"/>
      <c r="F29" s="87"/>
      <c r="G29" s="87"/>
      <c r="H29" s="87"/>
      <c r="I29" s="164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8"/>
      <c r="U29" s="88"/>
      <c r="V29" s="88"/>
      <c r="W29" s="88"/>
      <c r="X29" s="88"/>
      <c r="Y29" s="71"/>
    </row>
    <row r="30" spans="1:25" s="11" customFormat="1" ht="16.149999999999999" customHeight="1" thickTop="1" thickBot="1" x14ac:dyDescent="0.3">
      <c r="A30" s="194"/>
      <c r="B30" s="119" t="s">
        <v>7</v>
      </c>
      <c r="C30" s="90"/>
      <c r="D30" s="90" t="s">
        <v>188</v>
      </c>
      <c r="E30" s="90" t="s">
        <v>188</v>
      </c>
      <c r="F30" s="90" t="s">
        <v>188</v>
      </c>
      <c r="G30" s="90" t="s">
        <v>188</v>
      </c>
      <c r="H30" s="90" t="s">
        <v>188</v>
      </c>
      <c r="I30" s="168" t="s">
        <v>188</v>
      </c>
      <c r="J30" s="87" t="s">
        <v>188</v>
      </c>
      <c r="K30" s="87"/>
      <c r="L30" s="87"/>
      <c r="M30" s="90"/>
      <c r="N30" s="90"/>
      <c r="O30" s="90"/>
      <c r="P30" s="90"/>
      <c r="Q30" s="90"/>
      <c r="R30" s="90"/>
      <c r="S30" s="90"/>
      <c r="T30" s="73"/>
      <c r="U30" s="73"/>
      <c r="V30" s="73"/>
      <c r="W30" s="73"/>
      <c r="X30" s="73"/>
      <c r="Y30" s="71"/>
    </row>
    <row r="31" spans="1:25" s="11" customFormat="1" ht="16.149999999999999" customHeight="1" thickTop="1" thickBot="1" x14ac:dyDescent="0.3">
      <c r="A31" s="194"/>
      <c r="B31" s="119" t="s">
        <v>8</v>
      </c>
      <c r="C31" s="90"/>
      <c r="D31" s="90" t="s">
        <v>190</v>
      </c>
      <c r="E31" s="90" t="s">
        <v>190</v>
      </c>
      <c r="F31" s="90" t="s">
        <v>190</v>
      </c>
      <c r="G31" s="90" t="s">
        <v>190</v>
      </c>
      <c r="H31" s="90" t="s">
        <v>190</v>
      </c>
      <c r="I31" s="168" t="s">
        <v>190</v>
      </c>
      <c r="J31" s="87" t="s">
        <v>190</v>
      </c>
      <c r="K31" s="87"/>
      <c r="L31" s="87"/>
      <c r="M31" s="90"/>
      <c r="N31" s="90"/>
      <c r="O31" s="90"/>
      <c r="P31" s="90"/>
      <c r="Q31" s="90"/>
      <c r="R31" s="90"/>
      <c r="S31" s="90"/>
      <c r="T31" s="73"/>
      <c r="U31" s="73"/>
      <c r="V31" s="73"/>
      <c r="W31" s="73"/>
      <c r="X31" s="73"/>
      <c r="Y31" s="100"/>
    </row>
    <row r="32" spans="1:25" s="8" customFormat="1" ht="16.149999999999999" customHeight="1" thickTop="1" thickBot="1" x14ac:dyDescent="0.3">
      <c r="A32" s="194"/>
      <c r="B32" s="120" t="s">
        <v>9</v>
      </c>
      <c r="C32" s="90"/>
      <c r="D32" s="90" t="s">
        <v>196</v>
      </c>
      <c r="E32" s="90" t="s">
        <v>196</v>
      </c>
      <c r="F32" s="90" t="s">
        <v>196</v>
      </c>
      <c r="G32" s="90" t="s">
        <v>196</v>
      </c>
      <c r="H32" s="90" t="s">
        <v>196</v>
      </c>
      <c r="I32" s="168" t="s">
        <v>196</v>
      </c>
      <c r="J32" s="87" t="s">
        <v>189</v>
      </c>
      <c r="K32" s="87"/>
      <c r="L32" s="87"/>
      <c r="M32" s="90"/>
      <c r="N32" s="90"/>
      <c r="O32" s="90"/>
      <c r="P32" s="90"/>
      <c r="Q32" s="90"/>
      <c r="R32" s="90"/>
      <c r="S32" s="90"/>
      <c r="T32" s="73"/>
      <c r="U32" s="73"/>
      <c r="V32" s="73"/>
      <c r="W32" s="73"/>
      <c r="X32" s="73"/>
      <c r="Y32" s="101"/>
    </row>
    <row r="33" spans="1:25" s="8" customFormat="1" ht="16.5" thickTop="1" thickBot="1" x14ac:dyDescent="0.3">
      <c r="A33" s="194"/>
      <c r="B33" s="121" t="s">
        <v>14</v>
      </c>
      <c r="C33" s="90"/>
      <c r="D33" s="87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88"/>
      <c r="U33" s="88"/>
      <c r="V33" s="88"/>
      <c r="W33" s="88"/>
      <c r="X33" s="88"/>
      <c r="Y33" s="81"/>
    </row>
    <row r="34" spans="1:25" s="8" customFormat="1" ht="16.149999999999999" customHeight="1" thickTop="1" thickBot="1" x14ac:dyDescent="0.3">
      <c r="A34" s="188" t="s">
        <v>6</v>
      </c>
      <c r="B34" s="115" t="s">
        <v>10</v>
      </c>
      <c r="C34" s="95"/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84"/>
      <c r="U34" s="84"/>
      <c r="V34" s="84"/>
      <c r="W34" s="84"/>
      <c r="X34" s="84"/>
      <c r="Y34" s="85"/>
    </row>
    <row r="35" spans="1:25" s="8" customFormat="1" ht="16.149999999999999" customHeight="1" thickTop="1" thickBot="1" x14ac:dyDescent="0.3">
      <c r="A35" s="188"/>
      <c r="B35" s="116" t="s">
        <v>11</v>
      </c>
      <c r="C35" s="96"/>
      <c r="D35" s="96"/>
      <c r="E35" s="96"/>
      <c r="F35" s="96"/>
      <c r="G35" s="96"/>
      <c r="H35" s="96"/>
      <c r="I35" s="96"/>
      <c r="J35" s="96"/>
      <c r="K35" s="96"/>
      <c r="L35" s="96"/>
      <c r="M35" s="96"/>
      <c r="N35" s="96"/>
      <c r="O35" s="96"/>
      <c r="P35" s="96"/>
      <c r="Q35" s="96"/>
      <c r="R35" s="96"/>
      <c r="S35" s="96"/>
      <c r="T35" s="88"/>
      <c r="U35" s="88"/>
      <c r="V35" s="88"/>
      <c r="W35" s="88"/>
      <c r="X35" s="88"/>
      <c r="Y35" s="71"/>
    </row>
    <row r="36" spans="1:25" s="8" customFormat="1" ht="16.149999999999999" customHeight="1" thickTop="1" thickBot="1" x14ac:dyDescent="0.3">
      <c r="A36" s="188"/>
      <c r="B36" s="116" t="s">
        <v>12</v>
      </c>
      <c r="C36" s="69"/>
      <c r="D36" s="69"/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69"/>
      <c r="S36" s="69"/>
      <c r="T36" s="70"/>
      <c r="U36" s="70"/>
      <c r="V36" s="70"/>
      <c r="W36" s="70"/>
      <c r="X36" s="70"/>
      <c r="Y36" s="71"/>
    </row>
    <row r="37" spans="1:25" ht="16.149999999999999" customHeight="1" thickTop="1" thickBot="1" x14ac:dyDescent="0.3">
      <c r="A37" s="188"/>
      <c r="B37" s="116" t="s">
        <v>7</v>
      </c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3"/>
      <c r="U37" s="73"/>
      <c r="V37" s="73"/>
      <c r="W37" s="73"/>
      <c r="X37" s="73"/>
      <c r="Y37" s="100"/>
    </row>
    <row r="38" spans="1:25" ht="16.149999999999999" customHeight="1" thickTop="1" thickBot="1" x14ac:dyDescent="0.3">
      <c r="A38" s="188"/>
      <c r="B38" s="116" t="s">
        <v>8</v>
      </c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3"/>
      <c r="U38" s="73"/>
      <c r="V38" s="73"/>
      <c r="W38" s="73"/>
      <c r="X38" s="73"/>
      <c r="Y38" s="71"/>
    </row>
    <row r="39" spans="1:25" ht="16.149999999999999" customHeight="1" thickTop="1" thickBot="1" x14ac:dyDescent="0.3">
      <c r="A39" s="188"/>
      <c r="B39" s="117" t="s">
        <v>9</v>
      </c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6"/>
      <c r="U39" s="76"/>
      <c r="V39" s="76"/>
      <c r="W39" s="76"/>
      <c r="X39" s="76"/>
      <c r="Y39" s="77"/>
    </row>
    <row r="40" spans="1:25" ht="16.149999999999999" customHeight="1" thickTop="1" thickBot="1" x14ac:dyDescent="0.3">
      <c r="A40" s="188"/>
      <c r="B40" s="118" t="s">
        <v>14</v>
      </c>
      <c r="C40" s="102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3"/>
      <c r="S40" s="103"/>
      <c r="T40" s="104"/>
      <c r="U40" s="104"/>
      <c r="V40" s="104"/>
      <c r="W40" s="104"/>
      <c r="X40" s="104"/>
      <c r="Y40" s="105"/>
    </row>
    <row r="41" spans="1:25" ht="16.149999999999999" customHeight="1" thickTop="1" thickBot="1" x14ac:dyDescent="0.3">
      <c r="A41" s="188" t="s">
        <v>24</v>
      </c>
      <c r="B41" s="106" t="s">
        <v>10</v>
      </c>
      <c r="C41" s="106"/>
      <c r="D41" s="106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84"/>
      <c r="U41" s="84"/>
      <c r="V41" s="84"/>
      <c r="W41" s="84"/>
      <c r="X41" s="84"/>
      <c r="Y41" s="84"/>
    </row>
    <row r="42" spans="1:25" ht="16.149999999999999" customHeight="1" thickTop="1" thickBot="1" x14ac:dyDescent="0.3">
      <c r="A42" s="188"/>
      <c r="B42" s="107" t="s">
        <v>11</v>
      </c>
      <c r="C42" s="107"/>
      <c r="D42" s="107"/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88"/>
      <c r="U42" s="88"/>
      <c r="V42" s="88"/>
      <c r="W42" s="88"/>
      <c r="X42" s="88"/>
      <c r="Y42" s="88"/>
    </row>
    <row r="43" spans="1:25" ht="16.149999999999999" customHeight="1" thickTop="1" thickBot="1" x14ac:dyDescent="0.3">
      <c r="A43" s="188"/>
      <c r="B43" s="108" t="s">
        <v>12</v>
      </c>
      <c r="C43" s="108"/>
      <c r="D43" s="108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69"/>
      <c r="Q43" s="69"/>
      <c r="R43" s="69"/>
      <c r="S43" s="69"/>
      <c r="T43" s="70"/>
      <c r="U43" s="70"/>
      <c r="V43" s="70"/>
      <c r="W43" s="70"/>
      <c r="X43" s="70"/>
      <c r="Y43" s="70"/>
    </row>
    <row r="44" spans="1:25" ht="16.5" thickTop="1" thickBot="1" x14ac:dyDescent="0.3">
      <c r="A44" s="188"/>
      <c r="B44" s="109" t="s">
        <v>7</v>
      </c>
      <c r="C44" s="109"/>
      <c r="D44" s="109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3"/>
      <c r="U44" s="73"/>
      <c r="V44" s="73"/>
      <c r="W44" s="73"/>
      <c r="X44" s="73"/>
      <c r="Y44" s="73"/>
    </row>
    <row r="45" spans="1:25" ht="16.5" thickTop="1" thickBot="1" x14ac:dyDescent="0.3">
      <c r="A45" s="188"/>
      <c r="B45" s="109" t="s">
        <v>8</v>
      </c>
      <c r="C45" s="109"/>
      <c r="D45" s="109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3"/>
      <c r="U45" s="73"/>
      <c r="V45" s="73"/>
      <c r="W45" s="73"/>
      <c r="X45" s="73"/>
      <c r="Y45" s="73"/>
    </row>
    <row r="46" spans="1:25" ht="16.5" thickTop="1" thickBot="1" x14ac:dyDescent="0.3">
      <c r="A46" s="188"/>
      <c r="B46" s="110" t="s">
        <v>9</v>
      </c>
      <c r="C46" s="110"/>
      <c r="D46" s="110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5"/>
      <c r="S46" s="75"/>
      <c r="T46" s="76"/>
      <c r="U46" s="76"/>
      <c r="V46" s="76"/>
      <c r="W46" s="76"/>
      <c r="X46" s="76"/>
      <c r="Y46" s="76"/>
    </row>
    <row r="47" spans="1:25" ht="16.5" thickTop="1" thickBot="1" x14ac:dyDescent="0.3">
      <c r="A47" s="188"/>
      <c r="B47" s="118" t="s">
        <v>14</v>
      </c>
      <c r="C47" s="111"/>
      <c r="D47" s="111"/>
      <c r="E47" s="103"/>
      <c r="F47" s="103"/>
      <c r="G47" s="103"/>
      <c r="H47" s="103"/>
      <c r="I47" s="103"/>
      <c r="J47" s="103"/>
      <c r="K47" s="103"/>
      <c r="L47" s="103"/>
      <c r="M47" s="103"/>
      <c r="N47" s="103"/>
      <c r="O47" s="103"/>
      <c r="P47" s="103"/>
      <c r="Q47" s="103"/>
      <c r="R47" s="103"/>
      <c r="S47" s="103"/>
      <c r="T47" s="104"/>
      <c r="U47" s="104"/>
      <c r="V47" s="104"/>
      <c r="W47" s="104"/>
      <c r="X47" s="104"/>
      <c r="Y47" s="104"/>
    </row>
    <row r="48" spans="1:25" ht="15.75" thickTop="1" x14ac:dyDescent="0.25"/>
    <row r="49" spans="1:7" x14ac:dyDescent="0.25">
      <c r="A49" t="s">
        <v>42</v>
      </c>
      <c r="B49" s="122" t="s">
        <v>43</v>
      </c>
    </row>
    <row r="50" spans="1:7" x14ac:dyDescent="0.25">
      <c r="A50" s="145" t="s">
        <v>172</v>
      </c>
      <c r="B50" s="162" t="s">
        <v>101</v>
      </c>
      <c r="C50" s="148" t="s">
        <v>312</v>
      </c>
      <c r="E50" s="125"/>
      <c r="G50" t="s">
        <v>298</v>
      </c>
    </row>
    <row r="51" spans="1:7" x14ac:dyDescent="0.25">
      <c r="A51" s="145" t="s">
        <v>172</v>
      </c>
      <c r="B51" s="162" t="s">
        <v>102</v>
      </c>
      <c r="C51" s="148" t="s">
        <v>312</v>
      </c>
      <c r="E51" s="125"/>
    </row>
    <row r="52" spans="1:7" x14ac:dyDescent="0.25">
      <c r="A52" s="145" t="s">
        <v>172</v>
      </c>
      <c r="B52" s="162" t="s">
        <v>103</v>
      </c>
      <c r="C52" s="148" t="s">
        <v>312</v>
      </c>
      <c r="E52" s="125"/>
    </row>
    <row r="53" spans="1:7" x14ac:dyDescent="0.25">
      <c r="A53" s="126"/>
      <c r="B53" s="127"/>
      <c r="E53" s="125"/>
    </row>
    <row r="54" spans="1:7" x14ac:dyDescent="0.25">
      <c r="A54" s="126"/>
      <c r="B54" s="127"/>
      <c r="E54" s="125"/>
    </row>
    <row r="55" spans="1:7" x14ac:dyDescent="0.25">
      <c r="A55" s="128"/>
      <c r="B55" s="129"/>
      <c r="E55" s="125"/>
    </row>
    <row r="56" spans="1:7" x14ac:dyDescent="0.25">
      <c r="A56" s="128"/>
      <c r="B56" s="129"/>
      <c r="E56" s="125"/>
    </row>
    <row r="57" spans="1:7" x14ac:dyDescent="0.25">
      <c r="A57" s="128"/>
      <c r="B57" s="129"/>
      <c r="E57" s="125"/>
    </row>
    <row r="58" spans="1:7" x14ac:dyDescent="0.25">
      <c r="A58" s="128"/>
      <c r="B58" s="129"/>
      <c r="E58" s="125"/>
    </row>
    <row r="59" spans="1:7" x14ac:dyDescent="0.25">
      <c r="A59" s="128"/>
      <c r="B59" s="129"/>
      <c r="E59" s="125"/>
    </row>
    <row r="60" spans="1:7" x14ac:dyDescent="0.25">
      <c r="A60" s="128"/>
      <c r="B60" s="129"/>
      <c r="E60" s="125"/>
    </row>
    <row r="61" spans="1:7" x14ac:dyDescent="0.25">
      <c r="A61" s="128"/>
      <c r="B61" s="129"/>
      <c r="E61" s="125"/>
    </row>
    <row r="62" spans="1:7" x14ac:dyDescent="0.25">
      <c r="A62" s="128"/>
      <c r="B62" s="129"/>
      <c r="E62" s="125"/>
    </row>
    <row r="63" spans="1:7" x14ac:dyDescent="0.25">
      <c r="A63" s="128"/>
      <c r="B63" s="129"/>
      <c r="E63" s="125"/>
    </row>
    <row r="64" spans="1:7" x14ac:dyDescent="0.25">
      <c r="A64" s="128"/>
      <c r="B64" s="129"/>
      <c r="E64" s="125"/>
    </row>
    <row r="65" spans="1:5" x14ac:dyDescent="0.25">
      <c r="A65" s="128"/>
      <c r="B65" s="129"/>
      <c r="E65" s="125"/>
    </row>
    <row r="66" spans="1:5" x14ac:dyDescent="0.25">
      <c r="A66" s="128"/>
      <c r="B66" s="129"/>
      <c r="E66" s="125"/>
    </row>
    <row r="67" spans="1:5" x14ac:dyDescent="0.25">
      <c r="A67" s="128"/>
      <c r="B67" s="129"/>
      <c r="E67" s="125"/>
    </row>
    <row r="68" spans="1:5" x14ac:dyDescent="0.25">
      <c r="A68" s="128"/>
      <c r="B68" s="129"/>
    </row>
    <row r="69" spans="1:5" x14ac:dyDescent="0.25">
      <c r="A69" s="128"/>
      <c r="B69" s="129"/>
    </row>
    <row r="70" spans="1:5" x14ac:dyDescent="0.25">
      <c r="A70" s="130"/>
      <c r="B70" s="131"/>
    </row>
  </sheetData>
  <mergeCells count="8">
    <mergeCell ref="A27:A33"/>
    <mergeCell ref="A34:A40"/>
    <mergeCell ref="A41:A47"/>
    <mergeCell ref="A1:I3"/>
    <mergeCell ref="A4:B4"/>
    <mergeCell ref="A6:A12"/>
    <mergeCell ref="A13:A19"/>
    <mergeCell ref="A20:A26"/>
  </mergeCells>
  <conditionalFormatting sqref="D6:Y6">
    <cfRule type="containsText" dxfId="134" priority="32" operator="containsText" text=" Анікєєв">
      <formula>NOT(ISERROR(SEARCH(" Анікєєв",D6)))</formula>
    </cfRule>
  </conditionalFormatting>
  <conditionalFormatting sqref="D7:X7">
    <cfRule type="containsText" dxfId="133" priority="31" operator="containsText" text=" Анікєєв">
      <formula>NOT(ISERROR(SEARCH(" Анікєєв",D7)))</formula>
    </cfRule>
  </conditionalFormatting>
  <conditionalFormatting sqref="D8:X8">
    <cfRule type="containsText" dxfId="132" priority="30" operator="containsText" text=" Анікєєв">
      <formula>NOT(ISERROR(SEARCH(" Анікєєв",D8)))</formula>
    </cfRule>
  </conditionalFormatting>
  <conditionalFormatting sqref="D9:X9">
    <cfRule type="containsText" dxfId="131" priority="29" operator="containsText" text=" Анікєєв">
      <formula>NOT(ISERROR(SEARCH(" Анікєєв",D9)))</formula>
    </cfRule>
  </conditionalFormatting>
  <conditionalFormatting sqref="D10:X10 D11:E11 G11:X11">
    <cfRule type="containsText" dxfId="130" priority="28" operator="containsText" text=" Анікєєв">
      <formula>NOT(ISERROR(SEARCH(" Анікєєв",D10)))</formula>
    </cfRule>
  </conditionalFormatting>
  <conditionalFormatting sqref="D12:X12">
    <cfRule type="containsText" dxfId="129" priority="27" operator="containsText" text=" Анікєєв">
      <formula>NOT(ISERROR(SEARCH(" Анікєєв",D12)))</formula>
    </cfRule>
  </conditionalFormatting>
  <conditionalFormatting sqref="D13:X19">
    <cfRule type="containsText" dxfId="128" priority="26" operator="containsText" text=" Анікєєв">
      <formula>NOT(ISERROR(SEARCH(" Анікєєв",D13)))</formula>
    </cfRule>
  </conditionalFormatting>
  <conditionalFormatting sqref="D20:I21 D25:I25 M20:X25">
    <cfRule type="containsText" dxfId="127" priority="25" operator="containsText" text=" Анікєєв">
      <formula>NOT(ISERROR(SEARCH(" Анікєєв",D20)))</formula>
    </cfRule>
  </conditionalFormatting>
  <conditionalFormatting sqref="M27:X32 D27:I29">
    <cfRule type="containsText" dxfId="126" priority="24" operator="containsText" text=" Анікєєв">
      <formula>NOT(ISERROR(SEARCH(" Анікєєв",D27)))</formula>
    </cfRule>
  </conditionalFormatting>
  <conditionalFormatting sqref="D34:X34">
    <cfRule type="containsText" dxfId="125" priority="23" operator="containsText" text=" Анікєєв">
      <formula>NOT(ISERROR(SEARCH(" Анікєєв",D34)))</formula>
    </cfRule>
  </conditionalFormatting>
  <conditionalFormatting sqref="D33:X33">
    <cfRule type="containsText" dxfId="124" priority="22" operator="containsText" text=" Анікєєв">
      <formula>NOT(ISERROR(SEARCH(" Анікєєв",D33)))</formula>
    </cfRule>
  </conditionalFormatting>
  <conditionalFormatting sqref="C34:C40">
    <cfRule type="containsText" dxfId="123" priority="21" operator="containsText" text=" Анікєєв">
      <formula>NOT(ISERROR(SEARCH(" Анікєєв",C34)))</formula>
    </cfRule>
  </conditionalFormatting>
  <conditionalFormatting sqref="B41:Y41">
    <cfRule type="containsText" dxfId="122" priority="20" operator="containsText" text=" Анікєєв">
      <formula>NOT(ISERROR(SEARCH(" Анікєєв",B41)))</formula>
    </cfRule>
  </conditionalFormatting>
  <conditionalFormatting sqref="C30:I32">
    <cfRule type="containsText" dxfId="121" priority="19" operator="containsText" text=" Анікєєв">
      <formula>NOT(ISERROR(SEARCH(" Анікєєв",C30)))</formula>
    </cfRule>
  </conditionalFormatting>
  <conditionalFormatting sqref="J27:L27">
    <cfRule type="containsText" dxfId="120" priority="15" operator="containsText" text=" Анікєєв">
      <formula>NOT(ISERROR(SEARCH(" Анікєєв",J27)))</formula>
    </cfRule>
  </conditionalFormatting>
  <conditionalFormatting sqref="L28:L32">
    <cfRule type="containsText" dxfId="119" priority="14" operator="containsText" text=" Анікєєв">
      <formula>NOT(ISERROR(SEARCH(" Анікєєв",L28)))</formula>
    </cfRule>
  </conditionalFormatting>
  <conditionalFormatting sqref="K28:K30 K32">
    <cfRule type="containsText" dxfId="118" priority="13" operator="containsText" text=" Анікєєв">
      <formula>NOT(ISERROR(SEARCH(" Анікєєв",K28)))</formula>
    </cfRule>
  </conditionalFormatting>
  <conditionalFormatting sqref="K26">
    <cfRule type="containsText" dxfId="117" priority="12" operator="containsText" text=" Анікєєв">
      <formula>NOT(ISERROR(SEARCH(" Анікєєв",K26)))</formula>
    </cfRule>
  </conditionalFormatting>
  <conditionalFormatting sqref="L26">
    <cfRule type="containsText" dxfId="116" priority="11" operator="containsText" text=" Анікєєв">
      <formula>NOT(ISERROR(SEARCH(" Анікєєв",L26)))</formula>
    </cfRule>
  </conditionalFormatting>
  <conditionalFormatting sqref="J26">
    <cfRule type="containsText" dxfId="115" priority="9" operator="containsText" text=" Анікєєв">
      <formula>NOT(ISERROR(SEARCH(" Анікєєв",J26)))</formula>
    </cfRule>
  </conditionalFormatting>
  <conditionalFormatting sqref="J28:J29">
    <cfRule type="containsText" dxfId="114" priority="8" operator="containsText" text=" Анікєєв">
      <formula>NOT(ISERROR(SEARCH(" Анікєєв",J28)))</formula>
    </cfRule>
  </conditionalFormatting>
  <conditionalFormatting sqref="K31">
    <cfRule type="containsText" dxfId="113" priority="7" operator="containsText" text=" Анікєєв">
      <formula>NOT(ISERROR(SEARCH(" Анікєєв",K31)))</formula>
    </cfRule>
  </conditionalFormatting>
  <conditionalFormatting sqref="J30">
    <cfRule type="containsText" dxfId="112" priority="6" operator="containsText" text=" Анікєєв">
      <formula>NOT(ISERROR(SEARCH(" Анікєєв",J30)))</formula>
    </cfRule>
  </conditionalFormatting>
  <conditionalFormatting sqref="J31">
    <cfRule type="containsText" dxfId="111" priority="5" operator="containsText" text=" Анікєєв">
      <formula>NOT(ISERROR(SEARCH(" Анікєєв",J31)))</formula>
    </cfRule>
  </conditionalFormatting>
  <conditionalFormatting sqref="J32">
    <cfRule type="containsText" dxfId="110" priority="4" operator="containsText" text=" Анікєєв">
      <formula>NOT(ISERROR(SEARCH(" Анікєєв",J32)))</formula>
    </cfRule>
  </conditionalFormatting>
  <conditionalFormatting sqref="J20:L20">
    <cfRule type="containsText" dxfId="109" priority="3" operator="containsText" text=" Анікєєв">
      <formula>NOT(ISERROR(SEARCH(" Анікєєв",J20)))</formula>
    </cfRule>
  </conditionalFormatting>
  <conditionalFormatting sqref="J21:L21">
    <cfRule type="containsText" dxfId="108" priority="2" operator="containsText" text=" Анікєєв">
      <formula>NOT(ISERROR(SEARCH(" Анікєєв",J21)))</formula>
    </cfRule>
  </conditionalFormatting>
  <conditionalFormatting sqref="J22:L25">
    <cfRule type="containsText" dxfId="107" priority="1" operator="containsText" text=" Анікєєв">
      <formula>NOT(ISERROR(SEARCH(" Анікєєв",J22)))</formula>
    </cfRule>
  </conditionalFormatting>
  <pageMargins left="0.70866141732283472" right="0.70866141732283472" top="0.74803149606299213" bottom="0.74803149606299213" header="0.31496062992125984" footer="0.31496062992125984"/>
  <pageSetup paperSize="9" scale="55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pageSetUpPr fitToPage="1"/>
  </sheetPr>
  <dimension ref="A1:Y70"/>
  <sheetViews>
    <sheetView zoomScale="85" zoomScaleNormal="85" workbookViewId="0">
      <pane xSplit="2" ySplit="5" topLeftCell="C7" activePane="bottomRight" state="frozenSplit"/>
      <selection pane="topRight" activeCell="G1" sqref="G1"/>
      <selection pane="bottomLeft" activeCell="A39" sqref="A39"/>
      <selection pane="bottomRight" activeCell="L49" sqref="L49"/>
    </sheetView>
  </sheetViews>
  <sheetFormatPr defaultRowHeight="15" x14ac:dyDescent="0.25"/>
  <cols>
    <col min="1" max="1" width="21.7109375" customWidth="1"/>
    <col min="2" max="2" width="11.85546875" customWidth="1"/>
    <col min="3" max="5" width="25" bestFit="1" customWidth="1"/>
    <col min="6" max="6" width="28.28515625" customWidth="1"/>
    <col min="7" max="7" width="25" bestFit="1" customWidth="1"/>
    <col min="8" max="8" width="25" customWidth="1"/>
    <col min="9" max="13" width="25" bestFit="1" customWidth="1"/>
    <col min="14" max="14" width="25.7109375" customWidth="1"/>
    <col min="15" max="15" width="24" customWidth="1"/>
    <col min="16" max="16" width="25.28515625" customWidth="1"/>
    <col min="17" max="17" width="24" customWidth="1"/>
    <col min="18" max="18" width="24.28515625" bestFit="1" customWidth="1"/>
    <col min="19" max="21" width="25" bestFit="1" customWidth="1"/>
    <col min="22" max="22" width="25" customWidth="1"/>
    <col min="23" max="23" width="25" bestFit="1" customWidth="1"/>
    <col min="24" max="24" width="25" customWidth="1"/>
    <col min="25" max="25" width="25" bestFit="1" customWidth="1"/>
  </cols>
  <sheetData>
    <row r="1" spans="1:25" ht="15" customHeight="1" x14ac:dyDescent="0.25">
      <c r="A1" s="189" t="s">
        <v>178</v>
      </c>
      <c r="B1" s="189"/>
      <c r="C1" s="189"/>
      <c r="D1" s="189"/>
      <c r="E1" s="189"/>
      <c r="F1" s="189"/>
      <c r="G1" s="189"/>
      <c r="H1" s="189"/>
      <c r="I1" s="189"/>
      <c r="J1" s="9"/>
      <c r="K1" s="9"/>
      <c r="L1" s="9"/>
      <c r="M1" s="9"/>
      <c r="N1" s="9"/>
      <c r="O1" s="9"/>
      <c r="P1" s="9"/>
      <c r="Q1" s="9"/>
      <c r="R1" s="9"/>
    </row>
    <row r="2" spans="1:25" x14ac:dyDescent="0.25">
      <c r="A2" s="189"/>
      <c r="B2" s="189"/>
      <c r="C2" s="189"/>
      <c r="D2" s="189"/>
      <c r="E2" s="189"/>
      <c r="F2" s="189"/>
      <c r="G2" s="189"/>
      <c r="H2" s="189"/>
      <c r="I2" s="189"/>
      <c r="J2" s="9"/>
      <c r="K2" s="9"/>
      <c r="L2" s="9"/>
      <c r="M2" s="9"/>
      <c r="N2" s="9"/>
      <c r="O2" s="9"/>
      <c r="P2" s="9"/>
      <c r="Q2" s="9"/>
      <c r="R2" s="9"/>
    </row>
    <row r="3" spans="1:25" ht="15.75" thickBot="1" x14ac:dyDescent="0.3">
      <c r="A3" s="190"/>
      <c r="B3" s="190"/>
      <c r="C3" s="190"/>
      <c r="D3" s="190"/>
      <c r="E3" s="190"/>
      <c r="F3" s="190"/>
      <c r="G3" s="190"/>
      <c r="H3" s="190"/>
      <c r="I3" s="190"/>
      <c r="J3" s="9"/>
      <c r="K3" s="9"/>
      <c r="L3" s="9"/>
      <c r="M3" s="9"/>
      <c r="N3" s="9"/>
      <c r="O3" s="9"/>
      <c r="P3" s="9"/>
      <c r="Q3" s="9"/>
      <c r="R3" s="9"/>
    </row>
    <row r="4" spans="1:25" s="113" customFormat="1" ht="22.5" thickTop="1" thickBot="1" x14ac:dyDescent="0.35">
      <c r="A4" s="191" t="s">
        <v>13</v>
      </c>
      <c r="B4" s="192"/>
      <c r="C4" s="1">
        <v>1</v>
      </c>
      <c r="D4" s="1">
        <v>2</v>
      </c>
      <c r="E4" s="1">
        <v>3</v>
      </c>
      <c r="F4" s="1">
        <v>4</v>
      </c>
      <c r="G4" s="1">
        <v>5</v>
      </c>
      <c r="H4" s="1">
        <v>6</v>
      </c>
      <c r="I4" s="1">
        <v>7</v>
      </c>
      <c r="J4" s="1">
        <v>8</v>
      </c>
      <c r="K4" s="1">
        <v>9</v>
      </c>
      <c r="L4" s="1">
        <v>10</v>
      </c>
      <c r="M4" s="1">
        <v>11</v>
      </c>
      <c r="N4" s="1">
        <v>12</v>
      </c>
      <c r="O4" s="1">
        <v>13</v>
      </c>
      <c r="P4" s="1">
        <v>14</v>
      </c>
      <c r="Q4" s="1">
        <v>15</v>
      </c>
      <c r="R4" s="1">
        <v>16</v>
      </c>
      <c r="S4" s="1">
        <v>17</v>
      </c>
      <c r="T4" s="112">
        <v>18</v>
      </c>
      <c r="U4" s="112">
        <v>19</v>
      </c>
      <c r="V4" s="112">
        <v>20</v>
      </c>
      <c r="W4" s="112">
        <v>21</v>
      </c>
      <c r="X4" s="112">
        <v>22</v>
      </c>
      <c r="Y4" s="112">
        <v>23</v>
      </c>
    </row>
    <row r="5" spans="1:25" ht="21.75" thickTop="1" thickBot="1" x14ac:dyDescent="0.35">
      <c r="A5" s="2" t="s">
        <v>0</v>
      </c>
      <c r="B5" s="3" t="s">
        <v>1</v>
      </c>
      <c r="C5" s="4" t="s">
        <v>49</v>
      </c>
      <c r="D5" s="4" t="s">
        <v>50</v>
      </c>
      <c r="E5" s="4" t="s">
        <v>51</v>
      </c>
      <c r="F5" s="4" t="s">
        <v>52</v>
      </c>
      <c r="G5" s="4" t="s">
        <v>48</v>
      </c>
      <c r="H5" s="4" t="s">
        <v>47</v>
      </c>
      <c r="I5" s="4" t="s">
        <v>46</v>
      </c>
      <c r="J5" s="4" t="s">
        <v>45</v>
      </c>
      <c r="K5" s="4" t="s">
        <v>53</v>
      </c>
      <c r="L5" s="4" t="s">
        <v>54</v>
      </c>
      <c r="M5" s="4" t="s">
        <v>61</v>
      </c>
      <c r="N5" s="4" t="s">
        <v>60</v>
      </c>
      <c r="O5" s="4" t="s">
        <v>59</v>
      </c>
      <c r="P5" s="4" t="s">
        <v>58</v>
      </c>
      <c r="Q5" s="4" t="s">
        <v>57</v>
      </c>
      <c r="R5" s="4" t="s">
        <v>56</v>
      </c>
      <c r="S5" s="4" t="s">
        <v>55</v>
      </c>
      <c r="T5" s="114"/>
      <c r="U5" s="114"/>
      <c r="V5" s="114"/>
      <c r="W5" s="114"/>
      <c r="X5" s="114"/>
      <c r="Y5" s="114"/>
    </row>
    <row r="6" spans="1:25" s="8" customFormat="1" ht="16.149999999999999" customHeight="1" thickTop="1" thickBot="1" x14ac:dyDescent="0.3">
      <c r="A6" s="193" t="s">
        <v>2</v>
      </c>
      <c r="B6" s="115" t="s">
        <v>10</v>
      </c>
      <c r="C6" s="65"/>
      <c r="D6" s="66"/>
      <c r="E6" s="66"/>
      <c r="F6" s="66"/>
      <c r="G6" s="66"/>
      <c r="H6" s="66"/>
      <c r="I6" s="66"/>
      <c r="J6" s="152"/>
      <c r="K6" s="152"/>
      <c r="L6" s="152"/>
      <c r="M6" s="66"/>
      <c r="N6" s="66"/>
      <c r="O6" s="66"/>
      <c r="P6" s="66"/>
      <c r="Q6" s="66"/>
      <c r="R6" s="66"/>
      <c r="S6" s="66"/>
      <c r="T6" s="67"/>
      <c r="U6" s="67"/>
      <c r="V6" s="67"/>
      <c r="W6" s="67"/>
      <c r="X6" s="67"/>
      <c r="Y6" s="67"/>
    </row>
    <row r="7" spans="1:25" s="8" customFormat="1" ht="16.149999999999999" customHeight="1" thickTop="1" thickBot="1" x14ac:dyDescent="0.3">
      <c r="A7" s="193"/>
      <c r="B7" s="116" t="s">
        <v>11</v>
      </c>
      <c r="C7" s="68"/>
      <c r="D7" s="69"/>
      <c r="E7" s="69"/>
      <c r="F7" s="69"/>
      <c r="G7" s="69"/>
      <c r="H7" s="69"/>
      <c r="I7" s="69"/>
      <c r="J7" s="170"/>
      <c r="K7" s="170"/>
      <c r="L7" s="170"/>
      <c r="M7" s="69"/>
      <c r="N7" s="69"/>
      <c r="O7" s="69"/>
      <c r="P7" s="69"/>
      <c r="Q7" s="69"/>
      <c r="R7" s="69"/>
      <c r="S7" s="69"/>
      <c r="T7" s="70"/>
      <c r="U7" s="70"/>
      <c r="V7" s="70"/>
      <c r="W7" s="70"/>
      <c r="X7" s="70"/>
      <c r="Y7" s="71"/>
    </row>
    <row r="8" spans="1:25" s="8" customFormat="1" ht="16.149999999999999" customHeight="1" thickTop="1" thickBot="1" x14ac:dyDescent="0.3">
      <c r="A8" s="193"/>
      <c r="B8" s="116" t="s">
        <v>12</v>
      </c>
      <c r="C8" s="68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3"/>
      <c r="U8" s="73"/>
      <c r="V8" s="73"/>
      <c r="W8" s="73"/>
      <c r="X8" s="73"/>
      <c r="Y8" s="71"/>
    </row>
    <row r="9" spans="1:25" s="8" customFormat="1" ht="16.149999999999999" customHeight="1" thickTop="1" thickBot="1" x14ac:dyDescent="0.3">
      <c r="A9" s="193"/>
      <c r="B9" s="116" t="s">
        <v>7</v>
      </c>
      <c r="C9" s="68"/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3"/>
      <c r="U9" s="73"/>
      <c r="V9" s="73"/>
      <c r="W9" s="73"/>
      <c r="X9" s="73"/>
      <c r="Y9" s="71"/>
    </row>
    <row r="10" spans="1:25" s="8" customFormat="1" ht="16.149999999999999" customHeight="1" thickTop="1" thickBot="1" x14ac:dyDescent="0.3">
      <c r="A10" s="193"/>
      <c r="B10" s="116" t="s">
        <v>8</v>
      </c>
      <c r="C10" s="68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3"/>
      <c r="U10" s="73"/>
      <c r="V10" s="73"/>
      <c r="W10" s="73"/>
      <c r="X10" s="73"/>
      <c r="Y10" s="71"/>
    </row>
    <row r="11" spans="1:25" s="8" customFormat="1" ht="16.149999999999999" customHeight="1" thickTop="1" thickBot="1" x14ac:dyDescent="0.3">
      <c r="A11" s="193"/>
      <c r="B11" s="117" t="s">
        <v>9</v>
      </c>
      <c r="C11" s="74"/>
      <c r="D11" s="75"/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6"/>
      <c r="U11" s="76"/>
      <c r="V11" s="76"/>
      <c r="W11" s="76"/>
      <c r="X11" s="76"/>
      <c r="Y11" s="77"/>
    </row>
    <row r="12" spans="1:25" s="11" customFormat="1" ht="16.149999999999999" customHeight="1" thickTop="1" thickBot="1" x14ac:dyDescent="0.3">
      <c r="A12" s="193"/>
      <c r="B12" s="118" t="s">
        <v>14</v>
      </c>
      <c r="C12" s="78"/>
      <c r="D12" s="79"/>
      <c r="E12" s="79"/>
      <c r="F12" s="79"/>
      <c r="G12" s="79"/>
      <c r="H12" s="79"/>
      <c r="I12" s="79"/>
      <c r="J12" s="171"/>
      <c r="K12" s="171"/>
      <c r="L12" s="171"/>
      <c r="M12" s="79"/>
      <c r="N12" s="79"/>
      <c r="O12" s="79"/>
      <c r="P12" s="79"/>
      <c r="Q12" s="79"/>
      <c r="R12" s="79"/>
      <c r="S12" s="79"/>
      <c r="T12" s="80"/>
      <c r="U12" s="80"/>
      <c r="V12" s="80"/>
      <c r="W12" s="80"/>
      <c r="X12" s="80"/>
      <c r="Y12" s="81"/>
    </row>
    <row r="13" spans="1:25" s="11" customFormat="1" ht="16.149999999999999" customHeight="1" thickTop="1" thickBot="1" x14ac:dyDescent="0.3">
      <c r="A13" s="194" t="s">
        <v>3</v>
      </c>
      <c r="B13" s="97" t="s">
        <v>10</v>
      </c>
      <c r="C13" s="82"/>
      <c r="D13" s="83"/>
      <c r="E13" s="83"/>
      <c r="F13" s="83"/>
      <c r="G13" s="83"/>
      <c r="H13" s="83"/>
      <c r="I13" s="83"/>
      <c r="J13" s="147"/>
      <c r="K13" s="147"/>
      <c r="L13" s="147"/>
      <c r="M13" s="83"/>
      <c r="N13" s="83"/>
      <c r="O13" s="83"/>
      <c r="P13" s="83"/>
      <c r="Q13" s="83"/>
      <c r="R13" s="83"/>
      <c r="S13" s="83"/>
      <c r="T13" s="84"/>
      <c r="U13" s="84"/>
      <c r="V13" s="84"/>
      <c r="W13" s="84"/>
      <c r="X13" s="84"/>
      <c r="Y13" s="85"/>
    </row>
    <row r="14" spans="1:25" s="11" customFormat="1" ht="16.5" thickTop="1" thickBot="1" x14ac:dyDescent="0.3">
      <c r="A14" s="194"/>
      <c r="B14" s="119" t="s">
        <v>11</v>
      </c>
      <c r="C14" s="86"/>
      <c r="D14" s="87"/>
      <c r="E14" s="87"/>
      <c r="F14" s="87"/>
      <c r="G14" s="87"/>
      <c r="H14" s="87"/>
      <c r="I14" s="87"/>
      <c r="J14" s="90"/>
      <c r="K14" s="90"/>
      <c r="L14" s="90"/>
      <c r="M14" s="87"/>
      <c r="N14" s="87"/>
      <c r="O14" s="87"/>
      <c r="P14" s="87"/>
      <c r="Q14" s="87"/>
      <c r="R14" s="87"/>
      <c r="S14" s="87"/>
      <c r="T14" s="88"/>
      <c r="U14" s="88"/>
      <c r="V14" s="88"/>
      <c r="W14" s="88"/>
      <c r="X14" s="88"/>
      <c r="Y14" s="71"/>
    </row>
    <row r="15" spans="1:25" s="11" customFormat="1" ht="16.5" thickTop="1" thickBot="1" x14ac:dyDescent="0.3">
      <c r="A15" s="194"/>
      <c r="B15" s="119" t="s">
        <v>12</v>
      </c>
      <c r="C15" s="89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73"/>
      <c r="U15" s="73"/>
      <c r="V15" s="73"/>
      <c r="W15" s="73"/>
      <c r="X15" s="73"/>
      <c r="Y15" s="71"/>
    </row>
    <row r="16" spans="1:25" s="11" customFormat="1" ht="16.149999999999999" customHeight="1" thickTop="1" thickBot="1" x14ac:dyDescent="0.3">
      <c r="A16" s="194"/>
      <c r="B16" s="119" t="s">
        <v>7</v>
      </c>
      <c r="C16" s="86"/>
      <c r="D16" s="87"/>
      <c r="E16" s="87"/>
      <c r="F16" s="87"/>
      <c r="G16" s="87"/>
      <c r="H16" s="87"/>
      <c r="I16" s="87"/>
      <c r="J16" s="90"/>
      <c r="K16" s="90"/>
      <c r="L16" s="90"/>
      <c r="M16" s="87"/>
      <c r="N16" s="87"/>
      <c r="O16" s="87"/>
      <c r="P16" s="87"/>
      <c r="Q16" s="87"/>
      <c r="R16" s="87"/>
      <c r="S16" s="87"/>
      <c r="T16" s="88"/>
      <c r="U16" s="88"/>
      <c r="V16" s="88"/>
      <c r="W16" s="88"/>
      <c r="X16" s="88"/>
      <c r="Y16" s="71"/>
    </row>
    <row r="17" spans="1:25" s="11" customFormat="1" ht="16.149999999999999" customHeight="1" thickTop="1" thickBot="1" x14ac:dyDescent="0.3">
      <c r="A17" s="194"/>
      <c r="B17" s="119" t="s">
        <v>8</v>
      </c>
      <c r="C17" s="86"/>
      <c r="D17" s="87"/>
      <c r="E17" s="87"/>
      <c r="F17" s="87"/>
      <c r="G17" s="87"/>
      <c r="H17" s="87"/>
      <c r="I17" s="87"/>
      <c r="J17" s="90"/>
      <c r="K17" s="90"/>
      <c r="L17" s="90"/>
      <c r="M17" s="87"/>
      <c r="N17" s="87"/>
      <c r="O17" s="87"/>
      <c r="P17" s="87"/>
      <c r="Q17" s="87"/>
      <c r="R17" s="87"/>
      <c r="S17" s="87"/>
      <c r="T17" s="88"/>
      <c r="U17" s="88"/>
      <c r="V17" s="88"/>
      <c r="W17" s="88"/>
      <c r="X17" s="88"/>
      <c r="Y17" s="71"/>
    </row>
    <row r="18" spans="1:25" s="8" customFormat="1" ht="16.149999999999999" customHeight="1" thickTop="1" thickBot="1" x14ac:dyDescent="0.3">
      <c r="A18" s="194"/>
      <c r="B18" s="120" t="s">
        <v>9</v>
      </c>
      <c r="C18" s="86"/>
      <c r="D18" s="91"/>
      <c r="E18" s="91"/>
      <c r="F18" s="91"/>
      <c r="G18" s="91"/>
      <c r="H18" s="91"/>
      <c r="I18" s="91"/>
      <c r="J18" s="172"/>
      <c r="K18" s="172"/>
      <c r="L18" s="172"/>
      <c r="M18" s="91"/>
      <c r="N18" s="91"/>
      <c r="O18" s="91"/>
      <c r="P18" s="91"/>
      <c r="Q18" s="91"/>
      <c r="R18" s="91"/>
      <c r="S18" s="91"/>
      <c r="T18" s="92"/>
      <c r="U18" s="92"/>
      <c r="V18" s="92"/>
      <c r="W18" s="92"/>
      <c r="X18" s="92"/>
      <c r="Y18" s="77"/>
    </row>
    <row r="19" spans="1:25" s="8" customFormat="1" ht="16.149999999999999" customHeight="1" thickTop="1" thickBot="1" x14ac:dyDescent="0.3">
      <c r="A19" s="194"/>
      <c r="B19" s="121" t="s">
        <v>14</v>
      </c>
      <c r="C19" s="93"/>
      <c r="D19" s="94"/>
      <c r="E19" s="94"/>
      <c r="F19" s="94"/>
      <c r="G19" s="94"/>
      <c r="H19" s="94"/>
      <c r="I19" s="94"/>
      <c r="J19" s="173"/>
      <c r="K19" s="173"/>
      <c r="L19" s="173"/>
      <c r="M19" s="94"/>
      <c r="N19" s="94"/>
      <c r="O19" s="94"/>
      <c r="P19" s="94"/>
      <c r="Q19" s="94"/>
      <c r="R19" s="94"/>
      <c r="S19" s="94"/>
      <c r="T19" s="80"/>
      <c r="U19" s="80"/>
      <c r="V19" s="80"/>
      <c r="W19" s="80"/>
      <c r="X19" s="80"/>
      <c r="Y19" s="81"/>
    </row>
    <row r="20" spans="1:25" s="8" customFormat="1" ht="16.149999999999999" customHeight="1" thickTop="1" thickBot="1" x14ac:dyDescent="0.3">
      <c r="A20" s="193" t="s">
        <v>4</v>
      </c>
      <c r="B20" s="115" t="s">
        <v>10</v>
      </c>
      <c r="C20" s="65"/>
      <c r="D20" s="95"/>
      <c r="E20" s="95"/>
      <c r="F20" s="95"/>
      <c r="G20" s="95"/>
      <c r="H20" s="95"/>
      <c r="I20" s="95"/>
      <c r="J20" s="135"/>
      <c r="K20" s="135"/>
      <c r="L20" s="135"/>
      <c r="M20" s="95"/>
      <c r="N20" s="95"/>
      <c r="O20" s="95"/>
      <c r="P20" s="95"/>
      <c r="Q20" s="95"/>
      <c r="R20" s="95"/>
      <c r="S20" s="95"/>
      <c r="T20" s="84"/>
      <c r="U20" s="84"/>
      <c r="V20" s="84"/>
      <c r="W20" s="84"/>
      <c r="X20" s="84"/>
      <c r="Y20" s="85"/>
    </row>
    <row r="21" spans="1:25" s="8" customFormat="1" ht="16.149999999999999" customHeight="1" thickTop="1" thickBot="1" x14ac:dyDescent="0.3">
      <c r="A21" s="193"/>
      <c r="B21" s="116" t="s">
        <v>11</v>
      </c>
      <c r="C21" s="68"/>
      <c r="D21" s="96"/>
      <c r="E21" s="96"/>
      <c r="F21" s="96"/>
      <c r="G21" s="96"/>
      <c r="H21" s="96"/>
      <c r="I21" s="96"/>
      <c r="J21" s="72"/>
      <c r="K21" s="72"/>
      <c r="L21" s="72"/>
      <c r="M21" s="96"/>
      <c r="N21" s="96"/>
      <c r="O21" s="96"/>
      <c r="P21" s="96"/>
      <c r="Q21" s="96"/>
      <c r="R21" s="96"/>
      <c r="S21" s="96"/>
      <c r="T21" s="88"/>
      <c r="U21" s="88"/>
      <c r="V21" s="88"/>
      <c r="W21" s="88"/>
      <c r="X21" s="88"/>
      <c r="Y21" s="71"/>
    </row>
    <row r="22" spans="1:25" s="8" customFormat="1" ht="16.149999999999999" customHeight="1" thickTop="1" thickBot="1" x14ac:dyDescent="0.3">
      <c r="A22" s="193"/>
      <c r="B22" s="116" t="s">
        <v>12</v>
      </c>
      <c r="C22" s="68"/>
      <c r="D22" s="96"/>
      <c r="E22" s="96"/>
      <c r="F22" s="96"/>
      <c r="G22" s="96"/>
      <c r="H22" s="96"/>
      <c r="I22" s="96"/>
      <c r="J22" s="72"/>
      <c r="K22" s="72"/>
      <c r="L22" s="72"/>
      <c r="M22" s="96"/>
      <c r="N22" s="96"/>
      <c r="O22" s="96"/>
      <c r="P22" s="96"/>
      <c r="Q22" s="96"/>
      <c r="R22" s="96"/>
      <c r="S22" s="96"/>
      <c r="T22" s="88"/>
      <c r="U22" s="88"/>
      <c r="V22" s="88"/>
      <c r="W22" s="88"/>
      <c r="X22" s="88"/>
      <c r="Y22" s="71"/>
    </row>
    <row r="23" spans="1:25" s="8" customFormat="1" ht="16.149999999999999" customHeight="1" thickTop="1" thickBot="1" x14ac:dyDescent="0.3">
      <c r="A23" s="193"/>
      <c r="B23" s="116" t="s">
        <v>7</v>
      </c>
      <c r="C23" s="68"/>
      <c r="D23" s="96"/>
      <c r="E23" s="96"/>
      <c r="F23" s="96"/>
      <c r="G23" s="96"/>
      <c r="H23" s="96"/>
      <c r="I23" s="96"/>
      <c r="J23" s="72"/>
      <c r="K23" s="72"/>
      <c r="L23" s="72"/>
      <c r="M23" s="96"/>
      <c r="N23" s="96"/>
      <c r="O23" s="96"/>
      <c r="P23" s="96"/>
      <c r="Q23" s="96"/>
      <c r="R23" s="96"/>
      <c r="S23" s="96"/>
      <c r="T23" s="88"/>
      <c r="U23" s="88"/>
      <c r="V23" s="88"/>
      <c r="W23" s="88"/>
      <c r="X23" s="88"/>
      <c r="Y23" s="71"/>
    </row>
    <row r="24" spans="1:25" s="8" customFormat="1" ht="16.149999999999999" customHeight="1" thickTop="1" thickBot="1" x14ac:dyDescent="0.3">
      <c r="A24" s="193"/>
      <c r="B24" s="116" t="s">
        <v>8</v>
      </c>
      <c r="C24" s="68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3"/>
      <c r="U24" s="73"/>
      <c r="V24" s="73"/>
      <c r="W24" s="73"/>
      <c r="X24" s="73"/>
      <c r="Y24" s="71"/>
    </row>
    <row r="25" spans="1:25" s="11" customFormat="1" ht="16.149999999999999" customHeight="1" thickTop="1" thickBot="1" x14ac:dyDescent="0.3">
      <c r="A25" s="193"/>
      <c r="B25" s="116" t="s">
        <v>9</v>
      </c>
      <c r="C25" s="68"/>
      <c r="D25" s="96"/>
      <c r="E25" s="96"/>
      <c r="F25" s="96"/>
      <c r="G25" s="96"/>
      <c r="H25" s="96"/>
      <c r="I25" s="96"/>
      <c r="J25" s="72"/>
      <c r="K25" s="72"/>
      <c r="L25" s="72"/>
      <c r="M25" s="96"/>
      <c r="N25" s="96"/>
      <c r="O25" s="96"/>
      <c r="P25" s="96"/>
      <c r="Q25" s="96"/>
      <c r="R25" s="96"/>
      <c r="S25" s="96"/>
      <c r="T25" s="88"/>
      <c r="U25" s="88"/>
      <c r="V25" s="88"/>
      <c r="W25" s="88"/>
      <c r="X25" s="88"/>
      <c r="Y25" s="71"/>
    </row>
    <row r="26" spans="1:25" s="11" customFormat="1" ht="16.149999999999999" customHeight="1" thickTop="1" thickBot="1" x14ac:dyDescent="0.3">
      <c r="A26" s="193"/>
      <c r="B26" s="118" t="s">
        <v>14</v>
      </c>
      <c r="C26" s="78"/>
      <c r="D26" s="79"/>
      <c r="E26" s="79"/>
      <c r="F26" s="79"/>
      <c r="G26" s="79"/>
      <c r="H26" s="79"/>
      <c r="I26" s="79"/>
      <c r="J26" s="171"/>
      <c r="K26" s="171"/>
      <c r="L26" s="171"/>
      <c r="M26" s="79"/>
      <c r="N26" s="79"/>
      <c r="O26" s="79"/>
      <c r="P26" s="79"/>
      <c r="Q26" s="79"/>
      <c r="R26" s="79"/>
      <c r="S26" s="79"/>
      <c r="T26" s="80"/>
      <c r="U26" s="80"/>
      <c r="V26" s="80"/>
      <c r="W26" s="80"/>
      <c r="X26" s="80"/>
      <c r="Y26" s="81"/>
    </row>
    <row r="27" spans="1:25" s="11" customFormat="1" ht="16.149999999999999" customHeight="1" thickTop="1" thickBot="1" x14ac:dyDescent="0.3">
      <c r="A27" s="194" t="s">
        <v>5</v>
      </c>
      <c r="B27" s="97" t="s">
        <v>10</v>
      </c>
      <c r="C27" s="97"/>
      <c r="D27" s="98"/>
      <c r="E27" s="98"/>
      <c r="F27" s="98"/>
      <c r="G27" s="98"/>
      <c r="H27" s="98"/>
      <c r="I27" s="98"/>
      <c r="J27" s="153"/>
      <c r="K27" s="153"/>
      <c r="L27" s="153"/>
      <c r="M27" s="98"/>
      <c r="N27" s="98"/>
      <c r="O27" s="98"/>
      <c r="P27" s="98"/>
      <c r="Q27" s="98"/>
      <c r="R27" s="98"/>
      <c r="S27" s="98"/>
      <c r="T27" s="67"/>
      <c r="U27" s="67"/>
      <c r="V27" s="67"/>
      <c r="W27" s="67"/>
      <c r="X27" s="67"/>
      <c r="Y27" s="85"/>
    </row>
    <row r="28" spans="1:25" s="11" customFormat="1" ht="46.5" thickTop="1" thickBot="1" x14ac:dyDescent="0.3">
      <c r="A28" s="194"/>
      <c r="B28" s="119" t="s">
        <v>11</v>
      </c>
      <c r="C28" s="89" t="s">
        <v>181</v>
      </c>
      <c r="D28" s="89" t="s">
        <v>181</v>
      </c>
      <c r="E28" s="89" t="s">
        <v>181</v>
      </c>
      <c r="F28" s="89" t="s">
        <v>181</v>
      </c>
      <c r="G28" s="89" t="s">
        <v>181</v>
      </c>
      <c r="H28" s="89" t="s">
        <v>181</v>
      </c>
      <c r="I28" s="90" t="s">
        <v>284</v>
      </c>
      <c r="J28" s="90" t="s">
        <v>354</v>
      </c>
      <c r="K28" s="90" t="s">
        <v>354</v>
      </c>
      <c r="L28" s="90"/>
      <c r="M28" s="87"/>
      <c r="N28" s="87"/>
      <c r="O28" s="87"/>
      <c r="P28" s="87"/>
      <c r="Q28" s="87"/>
      <c r="R28" s="87"/>
      <c r="S28" s="87"/>
      <c r="T28" s="88"/>
      <c r="U28" s="88"/>
      <c r="V28" s="88"/>
      <c r="W28" s="88"/>
      <c r="X28" s="88"/>
      <c r="Y28" s="71"/>
    </row>
    <row r="29" spans="1:25" s="11" customFormat="1" ht="46.5" thickTop="1" thickBot="1" x14ac:dyDescent="0.3">
      <c r="A29" s="194"/>
      <c r="B29" s="119" t="s">
        <v>12</v>
      </c>
      <c r="C29" s="89" t="s">
        <v>182</v>
      </c>
      <c r="D29" s="89" t="s">
        <v>182</v>
      </c>
      <c r="E29" s="89" t="s">
        <v>182</v>
      </c>
      <c r="F29" s="89" t="s">
        <v>182</v>
      </c>
      <c r="G29" s="89" t="s">
        <v>182</v>
      </c>
      <c r="H29" s="89" t="s">
        <v>182</v>
      </c>
      <c r="I29" s="90" t="s">
        <v>283</v>
      </c>
      <c r="J29" s="90" t="s">
        <v>355</v>
      </c>
      <c r="K29" s="90" t="s">
        <v>355</v>
      </c>
      <c r="L29" s="90"/>
      <c r="M29" s="87"/>
      <c r="N29" s="87"/>
      <c r="O29" s="87"/>
      <c r="P29" s="87"/>
      <c r="Q29" s="87"/>
      <c r="R29" s="87"/>
      <c r="S29" s="87"/>
      <c r="T29" s="88"/>
      <c r="U29" s="88"/>
      <c r="V29" s="88"/>
      <c r="W29" s="88"/>
      <c r="X29" s="88"/>
      <c r="Y29" s="71"/>
    </row>
    <row r="30" spans="1:25" s="11" customFormat="1" ht="16.149999999999999" customHeight="1" thickTop="1" thickBot="1" x14ac:dyDescent="0.3">
      <c r="A30" s="194"/>
      <c r="B30" s="119" t="s">
        <v>7</v>
      </c>
      <c r="C30" s="99"/>
      <c r="D30" s="99"/>
      <c r="E30" s="99"/>
      <c r="F30" s="99"/>
      <c r="G30" s="99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90"/>
      <c r="S30" s="90"/>
      <c r="T30" s="73"/>
      <c r="U30" s="73"/>
      <c r="V30" s="73"/>
      <c r="W30" s="73"/>
      <c r="X30" s="73"/>
      <c r="Y30" s="71"/>
    </row>
    <row r="31" spans="1:25" s="11" customFormat="1" ht="16.149999999999999" customHeight="1" thickTop="1" thickBot="1" x14ac:dyDescent="0.3">
      <c r="A31" s="194"/>
      <c r="B31" s="119" t="s">
        <v>8</v>
      </c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90"/>
      <c r="S31" s="90"/>
      <c r="T31" s="73"/>
      <c r="U31" s="73"/>
      <c r="V31" s="73"/>
      <c r="W31" s="73"/>
      <c r="X31" s="73"/>
      <c r="Y31" s="100"/>
    </row>
    <row r="32" spans="1:25" s="8" customFormat="1" ht="16.149999999999999" customHeight="1" thickTop="1" thickBot="1" x14ac:dyDescent="0.3">
      <c r="A32" s="194"/>
      <c r="B32" s="120" t="s">
        <v>9</v>
      </c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73"/>
      <c r="U32" s="73"/>
      <c r="V32" s="73"/>
      <c r="W32" s="73"/>
      <c r="X32" s="73"/>
      <c r="Y32" s="101"/>
    </row>
    <row r="33" spans="1:25" s="8" customFormat="1" ht="16.5" thickTop="1" thickBot="1" x14ac:dyDescent="0.3">
      <c r="A33" s="194"/>
      <c r="B33" s="121" t="s">
        <v>14</v>
      </c>
      <c r="C33" s="90"/>
      <c r="D33" s="90"/>
      <c r="E33" s="90"/>
      <c r="F33" s="90"/>
      <c r="G33" s="90"/>
      <c r="H33" s="87"/>
      <c r="I33" s="87"/>
      <c r="J33" s="90"/>
      <c r="K33" s="90"/>
      <c r="L33" s="90"/>
      <c r="M33" s="87"/>
      <c r="N33" s="87"/>
      <c r="O33" s="87"/>
      <c r="P33" s="87"/>
      <c r="Q33" s="87"/>
      <c r="R33" s="87"/>
      <c r="S33" s="87"/>
      <c r="T33" s="88"/>
      <c r="U33" s="88"/>
      <c r="V33" s="88"/>
      <c r="W33" s="88"/>
      <c r="X33" s="88"/>
      <c r="Y33" s="81"/>
    </row>
    <row r="34" spans="1:25" s="8" customFormat="1" ht="31.5" thickTop="1" thickBot="1" x14ac:dyDescent="0.3">
      <c r="A34" s="188" t="s">
        <v>6</v>
      </c>
      <c r="B34" s="115" t="s">
        <v>10</v>
      </c>
      <c r="C34" s="135" t="s">
        <v>182</v>
      </c>
      <c r="D34" s="135" t="s">
        <v>182</v>
      </c>
      <c r="E34" s="135" t="s">
        <v>182</v>
      </c>
      <c r="F34" s="135" t="s">
        <v>182</v>
      </c>
      <c r="G34" s="135"/>
      <c r="H34" s="95"/>
      <c r="I34" s="95"/>
      <c r="J34" s="135"/>
      <c r="K34" s="135"/>
      <c r="L34" s="135"/>
      <c r="M34" s="95"/>
      <c r="N34" s="95"/>
      <c r="O34" s="95"/>
      <c r="P34" s="95"/>
      <c r="Q34" s="95"/>
      <c r="R34" s="95"/>
      <c r="S34" s="95"/>
      <c r="T34" s="84"/>
      <c r="U34" s="84"/>
      <c r="V34" s="84"/>
      <c r="W34" s="84"/>
      <c r="X34" s="84"/>
      <c r="Y34" s="85"/>
    </row>
    <row r="35" spans="1:25" s="8" customFormat="1" ht="31.5" thickTop="1" thickBot="1" x14ac:dyDescent="0.3">
      <c r="A35" s="188"/>
      <c r="B35" s="116" t="s">
        <v>11</v>
      </c>
      <c r="C35" s="72" t="s">
        <v>182</v>
      </c>
      <c r="D35" s="72" t="s">
        <v>182</v>
      </c>
      <c r="E35" s="72" t="s">
        <v>182</v>
      </c>
      <c r="F35" s="72" t="s">
        <v>182</v>
      </c>
      <c r="G35" s="72" t="s">
        <v>182</v>
      </c>
      <c r="H35" s="72"/>
      <c r="I35" s="96"/>
      <c r="J35" s="72"/>
      <c r="K35" s="72"/>
      <c r="L35" s="72"/>
      <c r="M35" s="96"/>
      <c r="N35" s="96"/>
      <c r="O35" s="96"/>
      <c r="P35" s="96"/>
      <c r="Q35" s="96"/>
      <c r="R35" s="96"/>
      <c r="S35" s="96"/>
      <c r="T35" s="88"/>
      <c r="U35" s="88"/>
      <c r="V35" s="88"/>
      <c r="W35" s="88"/>
      <c r="X35" s="88"/>
      <c r="Y35" s="71"/>
    </row>
    <row r="36" spans="1:25" s="8" customFormat="1" ht="46.5" thickTop="1" thickBot="1" x14ac:dyDescent="0.3">
      <c r="A36" s="188"/>
      <c r="B36" s="116" t="s">
        <v>12</v>
      </c>
      <c r="C36" s="72" t="s">
        <v>181</v>
      </c>
      <c r="D36" s="72" t="s">
        <v>181</v>
      </c>
      <c r="E36" s="72" t="s">
        <v>181</v>
      </c>
      <c r="F36" s="72" t="s">
        <v>181</v>
      </c>
      <c r="G36" s="72" t="s">
        <v>181</v>
      </c>
      <c r="H36" s="72" t="s">
        <v>284</v>
      </c>
      <c r="I36" s="72" t="s">
        <v>284</v>
      </c>
      <c r="J36" s="72" t="s">
        <v>354</v>
      </c>
      <c r="K36" s="72" t="s">
        <v>354</v>
      </c>
      <c r="L36" s="170"/>
      <c r="M36" s="69"/>
      <c r="N36" s="69"/>
      <c r="O36" s="69"/>
      <c r="P36" s="69"/>
      <c r="Q36" s="69"/>
      <c r="R36" s="69"/>
      <c r="S36" s="69"/>
      <c r="T36" s="70"/>
      <c r="U36" s="70"/>
      <c r="V36" s="70"/>
      <c r="W36" s="70"/>
      <c r="X36" s="70"/>
      <c r="Y36" s="71"/>
    </row>
    <row r="37" spans="1:25" ht="46.5" thickTop="1" thickBot="1" x14ac:dyDescent="0.3">
      <c r="A37" s="188"/>
      <c r="B37" s="116" t="s">
        <v>7</v>
      </c>
      <c r="C37" s="72" t="s">
        <v>181</v>
      </c>
      <c r="D37" s="72" t="s">
        <v>181</v>
      </c>
      <c r="E37" s="72" t="s">
        <v>181</v>
      </c>
      <c r="F37" s="72" t="s">
        <v>181</v>
      </c>
      <c r="G37" s="72"/>
      <c r="H37" s="72" t="s">
        <v>283</v>
      </c>
      <c r="I37" s="72" t="s">
        <v>283</v>
      </c>
      <c r="J37" s="72" t="s">
        <v>355</v>
      </c>
      <c r="K37" s="72" t="s">
        <v>355</v>
      </c>
      <c r="L37" s="72"/>
      <c r="M37" s="72"/>
      <c r="N37" s="72"/>
      <c r="O37" s="72"/>
      <c r="P37" s="72"/>
      <c r="Q37" s="72"/>
      <c r="R37" s="72"/>
      <c r="S37" s="72"/>
      <c r="T37" s="73"/>
      <c r="U37" s="73"/>
      <c r="V37" s="73"/>
      <c r="W37" s="73"/>
      <c r="X37" s="73"/>
      <c r="Y37" s="100"/>
    </row>
    <row r="38" spans="1:25" ht="16.149999999999999" customHeight="1" thickTop="1" thickBot="1" x14ac:dyDescent="0.3">
      <c r="A38" s="188"/>
      <c r="B38" s="116" t="s">
        <v>8</v>
      </c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3"/>
      <c r="U38" s="73"/>
      <c r="V38" s="73"/>
      <c r="W38" s="73"/>
      <c r="X38" s="73"/>
      <c r="Y38" s="71"/>
    </row>
    <row r="39" spans="1:25" ht="16.149999999999999" customHeight="1" thickTop="1" thickBot="1" x14ac:dyDescent="0.3">
      <c r="A39" s="188"/>
      <c r="B39" s="117" t="s">
        <v>9</v>
      </c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6"/>
      <c r="U39" s="76"/>
      <c r="V39" s="76"/>
      <c r="W39" s="76"/>
      <c r="X39" s="76"/>
      <c r="Y39" s="77"/>
    </row>
    <row r="40" spans="1:25" ht="16.149999999999999" customHeight="1" thickTop="1" thickBot="1" x14ac:dyDescent="0.3">
      <c r="A40" s="188"/>
      <c r="B40" s="118" t="s">
        <v>14</v>
      </c>
      <c r="C40" s="102"/>
      <c r="D40" s="103"/>
      <c r="E40" s="103"/>
      <c r="F40" s="103"/>
      <c r="G40" s="103"/>
      <c r="H40" s="103"/>
      <c r="I40" s="103"/>
      <c r="J40" s="174"/>
      <c r="K40" s="174"/>
      <c r="L40" s="174"/>
      <c r="M40" s="103"/>
      <c r="N40" s="103"/>
      <c r="O40" s="103"/>
      <c r="P40" s="103"/>
      <c r="Q40" s="103"/>
      <c r="R40" s="103"/>
      <c r="S40" s="103"/>
      <c r="T40" s="104"/>
      <c r="U40" s="104"/>
      <c r="V40" s="104"/>
      <c r="W40" s="104"/>
      <c r="X40" s="104"/>
      <c r="Y40" s="105"/>
    </row>
    <row r="41" spans="1:25" ht="16.149999999999999" customHeight="1" thickTop="1" thickBot="1" x14ac:dyDescent="0.3">
      <c r="A41" s="188" t="s">
        <v>24</v>
      </c>
      <c r="B41" s="106" t="s">
        <v>10</v>
      </c>
      <c r="C41" s="106"/>
      <c r="D41" s="106"/>
      <c r="E41" s="95"/>
      <c r="F41" s="95"/>
      <c r="G41" s="95"/>
      <c r="H41" s="95"/>
      <c r="I41" s="95"/>
      <c r="J41" s="135"/>
      <c r="K41" s="135"/>
      <c r="L41" s="135"/>
      <c r="M41" s="95"/>
      <c r="N41" s="95"/>
      <c r="O41" s="95"/>
      <c r="P41" s="95"/>
      <c r="Q41" s="95"/>
      <c r="R41" s="95"/>
      <c r="S41" s="95"/>
      <c r="T41" s="84"/>
      <c r="U41" s="84"/>
      <c r="V41" s="84"/>
      <c r="W41" s="84"/>
      <c r="X41" s="84"/>
      <c r="Y41" s="84"/>
    </row>
    <row r="42" spans="1:25" ht="16.149999999999999" customHeight="1" thickTop="1" thickBot="1" x14ac:dyDescent="0.3">
      <c r="A42" s="188"/>
      <c r="B42" s="107" t="s">
        <v>11</v>
      </c>
      <c r="C42" s="107"/>
      <c r="D42" s="107"/>
      <c r="E42" s="96"/>
      <c r="F42" s="96"/>
      <c r="G42" s="96"/>
      <c r="H42" s="96"/>
      <c r="I42" s="96"/>
      <c r="J42" s="72"/>
      <c r="K42" s="72"/>
      <c r="L42" s="72"/>
      <c r="M42" s="96"/>
      <c r="N42" s="96"/>
      <c r="O42" s="96"/>
      <c r="P42" s="96"/>
      <c r="Q42" s="96"/>
      <c r="R42" s="96"/>
      <c r="S42" s="96"/>
      <c r="T42" s="88"/>
      <c r="U42" s="88"/>
      <c r="V42" s="88"/>
      <c r="W42" s="88"/>
      <c r="X42" s="88"/>
      <c r="Y42" s="88"/>
    </row>
    <row r="43" spans="1:25" ht="16.149999999999999" customHeight="1" thickTop="1" thickBot="1" x14ac:dyDescent="0.3">
      <c r="A43" s="188"/>
      <c r="B43" s="108" t="s">
        <v>12</v>
      </c>
      <c r="C43" s="108"/>
      <c r="D43" s="108"/>
      <c r="E43" s="69"/>
      <c r="F43" s="69"/>
      <c r="G43" s="69"/>
      <c r="H43" s="69"/>
      <c r="I43" s="69"/>
      <c r="J43" s="170"/>
      <c r="K43" s="170"/>
      <c r="L43" s="170"/>
      <c r="M43" s="69"/>
      <c r="N43" s="69"/>
      <c r="O43" s="69"/>
      <c r="P43" s="69"/>
      <c r="Q43" s="69"/>
      <c r="R43" s="69"/>
      <c r="S43" s="69"/>
      <c r="T43" s="70"/>
      <c r="U43" s="70"/>
      <c r="V43" s="70"/>
      <c r="W43" s="70"/>
      <c r="X43" s="70"/>
      <c r="Y43" s="70"/>
    </row>
    <row r="44" spans="1:25" ht="16.5" thickTop="1" thickBot="1" x14ac:dyDescent="0.3">
      <c r="A44" s="188"/>
      <c r="B44" s="109" t="s">
        <v>7</v>
      </c>
      <c r="C44" s="109"/>
      <c r="D44" s="109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3"/>
      <c r="U44" s="73"/>
      <c r="V44" s="73"/>
      <c r="W44" s="73"/>
      <c r="X44" s="73"/>
      <c r="Y44" s="73"/>
    </row>
    <row r="45" spans="1:25" ht="16.5" thickTop="1" thickBot="1" x14ac:dyDescent="0.3">
      <c r="A45" s="188"/>
      <c r="B45" s="109" t="s">
        <v>8</v>
      </c>
      <c r="C45" s="109"/>
      <c r="D45" s="109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3"/>
      <c r="U45" s="73"/>
      <c r="V45" s="73"/>
      <c r="W45" s="73"/>
      <c r="X45" s="73"/>
      <c r="Y45" s="73"/>
    </row>
    <row r="46" spans="1:25" ht="16.5" thickTop="1" thickBot="1" x14ac:dyDescent="0.3">
      <c r="A46" s="188"/>
      <c r="B46" s="110" t="s">
        <v>9</v>
      </c>
      <c r="C46" s="110"/>
      <c r="D46" s="110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5"/>
      <c r="S46" s="75"/>
      <c r="T46" s="76"/>
      <c r="U46" s="76"/>
      <c r="V46" s="76"/>
      <c r="W46" s="76"/>
      <c r="X46" s="76"/>
      <c r="Y46" s="76"/>
    </row>
    <row r="47" spans="1:25" ht="16.5" thickTop="1" thickBot="1" x14ac:dyDescent="0.3">
      <c r="A47" s="188"/>
      <c r="B47" s="118" t="s">
        <v>14</v>
      </c>
      <c r="C47" s="111"/>
      <c r="D47" s="111"/>
      <c r="E47" s="103"/>
      <c r="F47" s="103"/>
      <c r="G47" s="103"/>
      <c r="H47" s="103"/>
      <c r="I47" s="103"/>
      <c r="J47" s="174"/>
      <c r="K47" s="174"/>
      <c r="L47" s="174"/>
      <c r="M47" s="103"/>
      <c r="N47" s="103"/>
      <c r="O47" s="103"/>
      <c r="P47" s="103"/>
      <c r="Q47" s="103"/>
      <c r="R47" s="103"/>
      <c r="S47" s="103"/>
      <c r="T47" s="104"/>
      <c r="U47" s="104"/>
      <c r="V47" s="104"/>
      <c r="W47" s="104"/>
      <c r="X47" s="104"/>
      <c r="Y47" s="104"/>
    </row>
    <row r="48" spans="1:25" ht="15.75" thickTop="1" x14ac:dyDescent="0.25"/>
    <row r="49" spans="1:5" x14ac:dyDescent="0.25">
      <c r="A49" t="s">
        <v>42</v>
      </c>
      <c r="B49" s="122" t="s">
        <v>43</v>
      </c>
    </row>
    <row r="50" spans="1:5" x14ac:dyDescent="0.25">
      <c r="A50" s="126" t="s">
        <v>179</v>
      </c>
      <c r="B50" s="124" t="s">
        <v>116</v>
      </c>
      <c r="C50" t="s">
        <v>256</v>
      </c>
      <c r="D50" s="126" t="s">
        <v>279</v>
      </c>
      <c r="E50" s="15" t="s">
        <v>278</v>
      </c>
    </row>
    <row r="51" spans="1:5" x14ac:dyDescent="0.25">
      <c r="A51" s="126" t="s">
        <v>180</v>
      </c>
      <c r="B51" s="124" t="s">
        <v>117</v>
      </c>
      <c r="C51" t="s">
        <v>256</v>
      </c>
      <c r="D51" s="126" t="s">
        <v>145</v>
      </c>
      <c r="E51" s="15" t="s">
        <v>278</v>
      </c>
    </row>
    <row r="52" spans="1:5" x14ac:dyDescent="0.25">
      <c r="A52" s="126" t="s">
        <v>179</v>
      </c>
      <c r="B52" s="124" t="s">
        <v>118</v>
      </c>
      <c r="C52" t="s">
        <v>256</v>
      </c>
      <c r="D52" s="126" t="s">
        <v>279</v>
      </c>
      <c r="E52" s="15" t="s">
        <v>278</v>
      </c>
    </row>
    <row r="53" spans="1:5" x14ac:dyDescent="0.25">
      <c r="A53" s="126" t="s">
        <v>180</v>
      </c>
      <c r="B53" s="124" t="s">
        <v>119</v>
      </c>
      <c r="C53" t="s">
        <v>256</v>
      </c>
      <c r="D53" s="126" t="s">
        <v>145</v>
      </c>
      <c r="E53" s="15" t="s">
        <v>278</v>
      </c>
    </row>
    <row r="54" spans="1:5" x14ac:dyDescent="0.25">
      <c r="A54" s="126"/>
      <c r="B54" s="127"/>
      <c r="E54" s="125"/>
    </row>
    <row r="55" spans="1:5" x14ac:dyDescent="0.25">
      <c r="A55" s="128"/>
      <c r="B55" s="129"/>
      <c r="E55" s="125"/>
    </row>
    <row r="56" spans="1:5" x14ac:dyDescent="0.25">
      <c r="A56" s="128"/>
      <c r="B56" s="129"/>
      <c r="E56" s="125"/>
    </row>
    <row r="57" spans="1:5" x14ac:dyDescent="0.25">
      <c r="A57" s="128"/>
      <c r="B57" s="129"/>
      <c r="E57" s="125"/>
    </row>
    <row r="58" spans="1:5" x14ac:dyDescent="0.25">
      <c r="A58" s="128"/>
      <c r="B58" s="129"/>
      <c r="E58" s="125"/>
    </row>
    <row r="59" spans="1:5" x14ac:dyDescent="0.25">
      <c r="A59" s="128"/>
      <c r="B59" s="129"/>
      <c r="E59" s="125"/>
    </row>
    <row r="60" spans="1:5" x14ac:dyDescent="0.25">
      <c r="A60" s="128"/>
      <c r="B60" s="129"/>
      <c r="E60" s="125"/>
    </row>
    <row r="61" spans="1:5" x14ac:dyDescent="0.25">
      <c r="A61" s="128"/>
      <c r="B61" s="129"/>
      <c r="E61" s="125"/>
    </row>
    <row r="62" spans="1:5" x14ac:dyDescent="0.25">
      <c r="A62" s="128"/>
      <c r="B62" s="129"/>
      <c r="E62" s="125"/>
    </row>
    <row r="63" spans="1:5" x14ac:dyDescent="0.25">
      <c r="A63" s="128"/>
      <c r="B63" s="129"/>
      <c r="E63" s="125"/>
    </row>
    <row r="64" spans="1:5" x14ac:dyDescent="0.25">
      <c r="A64" s="128"/>
      <c r="B64" s="129"/>
      <c r="E64" s="125"/>
    </row>
    <row r="65" spans="1:5" x14ac:dyDescent="0.25">
      <c r="A65" s="128"/>
      <c r="B65" s="129"/>
      <c r="E65" s="125"/>
    </row>
    <row r="66" spans="1:5" x14ac:dyDescent="0.25">
      <c r="A66" s="128"/>
      <c r="B66" s="129"/>
      <c r="E66" s="125"/>
    </row>
    <row r="67" spans="1:5" x14ac:dyDescent="0.25">
      <c r="A67" s="128"/>
      <c r="B67" s="129"/>
      <c r="E67" s="125"/>
    </row>
    <row r="68" spans="1:5" x14ac:dyDescent="0.25">
      <c r="A68" s="128"/>
      <c r="B68" s="129"/>
    </row>
    <row r="69" spans="1:5" x14ac:dyDescent="0.25">
      <c r="A69" s="128"/>
      <c r="B69" s="129"/>
    </row>
    <row r="70" spans="1:5" x14ac:dyDescent="0.25">
      <c r="A70" s="130"/>
      <c r="B70" s="131"/>
    </row>
  </sheetData>
  <mergeCells count="8">
    <mergeCell ref="A27:A33"/>
    <mergeCell ref="A34:A40"/>
    <mergeCell ref="A41:A47"/>
    <mergeCell ref="A1:I3"/>
    <mergeCell ref="A4:B4"/>
    <mergeCell ref="A6:A12"/>
    <mergeCell ref="A13:A19"/>
    <mergeCell ref="A20:A26"/>
  </mergeCells>
  <conditionalFormatting sqref="D6:Y6">
    <cfRule type="containsText" dxfId="106" priority="16" operator="containsText" text=" Анікєєв">
      <formula>NOT(ISERROR(SEARCH(" Анікєєв",D6)))</formula>
    </cfRule>
  </conditionalFormatting>
  <conditionalFormatting sqref="D7:X7">
    <cfRule type="containsText" dxfId="105" priority="15" operator="containsText" text=" Анікєєв">
      <formula>NOT(ISERROR(SEARCH(" Анікєєв",D7)))</formula>
    </cfRule>
  </conditionalFormatting>
  <conditionalFormatting sqref="D8:X8">
    <cfRule type="containsText" dxfId="104" priority="14" operator="containsText" text=" Анікєєв">
      <formula>NOT(ISERROR(SEARCH(" Анікєєв",D8)))</formula>
    </cfRule>
  </conditionalFormatting>
  <conditionalFormatting sqref="D9:X9">
    <cfRule type="containsText" dxfId="103" priority="13" operator="containsText" text=" Анікєєв">
      <formula>NOT(ISERROR(SEARCH(" Анікєєв",D9)))</formula>
    </cfRule>
  </conditionalFormatting>
  <conditionalFormatting sqref="D10:X11">
    <cfRule type="containsText" dxfId="102" priority="12" operator="containsText" text=" Анікєєв">
      <formula>NOT(ISERROR(SEARCH(" Анікєєв",D10)))</formula>
    </cfRule>
  </conditionalFormatting>
  <conditionalFormatting sqref="D12:X12">
    <cfRule type="containsText" dxfId="101" priority="11" operator="containsText" text=" Анікєєв">
      <formula>NOT(ISERROR(SEARCH(" Анікєєв",D12)))</formula>
    </cfRule>
  </conditionalFormatting>
  <conditionalFormatting sqref="D13:X19">
    <cfRule type="containsText" dxfId="100" priority="10" operator="containsText" text=" Анікєєв">
      <formula>NOT(ISERROR(SEARCH(" Анікєєв",D13)))</formula>
    </cfRule>
  </conditionalFormatting>
  <conditionalFormatting sqref="D20:X25">
    <cfRule type="containsText" dxfId="99" priority="9" operator="containsText" text=" Анікєєв">
      <formula>NOT(ISERROR(SEARCH(" Анікєєв",D20)))</formula>
    </cfRule>
  </conditionalFormatting>
  <conditionalFormatting sqref="D27:X27 H30:X32 L28:X29">
    <cfRule type="containsText" dxfId="98" priority="8" operator="containsText" text=" Анікєєв">
      <formula>NOT(ISERROR(SEARCH(" Анікєєв",D27)))</formula>
    </cfRule>
  </conditionalFormatting>
  <conditionalFormatting sqref="H34:X34">
    <cfRule type="containsText" dxfId="97" priority="7" operator="containsText" text=" Анікєєв">
      <formula>NOT(ISERROR(SEARCH(" Анікєєв",H34)))</formula>
    </cfRule>
  </conditionalFormatting>
  <conditionalFormatting sqref="H33:X33">
    <cfRule type="containsText" dxfId="96" priority="6" operator="containsText" text=" Анікєєв">
      <formula>NOT(ISERROR(SEARCH(" Анікєєв",H33)))</formula>
    </cfRule>
  </conditionalFormatting>
  <conditionalFormatting sqref="C34:C40 D34:G37 H35:H36 I36">
    <cfRule type="containsText" dxfId="95" priority="5" operator="containsText" text=" Анікєєв">
      <formula>NOT(ISERROR(SEARCH(" Анікєєв",C34)))</formula>
    </cfRule>
  </conditionalFormatting>
  <conditionalFormatting sqref="B41:Y41">
    <cfRule type="containsText" dxfId="94" priority="4" operator="containsText" text=" Анікєєв">
      <formula>NOT(ISERROR(SEARCH(" Анікєєв",B41)))</formula>
    </cfRule>
  </conditionalFormatting>
  <conditionalFormatting sqref="I28:K29">
    <cfRule type="containsText" dxfId="93" priority="2" operator="containsText" text=" Анікєєв">
      <formula>NOT(ISERROR(SEARCH(" Анікєєв",I28)))</formula>
    </cfRule>
  </conditionalFormatting>
  <pageMargins left="0.31496062992125984" right="0.51181102362204722" top="0.35433070866141736" bottom="0.55118110236220474" header="0.31496062992125984" footer="0.31496062992125984"/>
  <pageSetup paperSize="9" scale="57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>
    <pageSetUpPr fitToPage="1"/>
  </sheetPr>
  <dimension ref="A1:Y70"/>
  <sheetViews>
    <sheetView zoomScale="85" zoomScaleNormal="85" workbookViewId="0">
      <pane xSplit="6" ySplit="5" topLeftCell="G6" activePane="bottomRight" state="frozenSplit"/>
      <selection pane="topRight" activeCell="I1" sqref="I1"/>
      <selection pane="bottomLeft" activeCell="A25" sqref="A25"/>
      <selection pane="bottomRight" activeCell="L53" sqref="L53"/>
    </sheetView>
  </sheetViews>
  <sheetFormatPr defaultRowHeight="15" x14ac:dyDescent="0.25"/>
  <cols>
    <col min="1" max="1" width="21.7109375" customWidth="1"/>
    <col min="2" max="2" width="11.85546875" customWidth="1"/>
    <col min="3" max="3" width="28.7109375" hidden="1" customWidth="1"/>
    <col min="4" max="6" width="26.28515625" hidden="1" customWidth="1"/>
    <col min="7" max="7" width="26.28515625" customWidth="1"/>
    <col min="8" max="8" width="24.28515625" bestFit="1" customWidth="1"/>
    <col min="9" max="9" width="26.28515625" customWidth="1"/>
    <col min="10" max="12" width="27.28515625" bestFit="1" customWidth="1"/>
    <col min="13" max="13" width="21.5703125" customWidth="1"/>
    <col min="14" max="23" width="20.7109375" bestFit="1" customWidth="1"/>
    <col min="24" max="24" width="25" customWidth="1"/>
    <col min="25" max="25" width="25" bestFit="1" customWidth="1"/>
  </cols>
  <sheetData>
    <row r="1" spans="1:25" ht="15" customHeight="1" x14ac:dyDescent="0.25">
      <c r="A1" s="189" t="s">
        <v>132</v>
      </c>
      <c r="B1" s="189"/>
      <c r="C1" s="189"/>
      <c r="D1" s="189"/>
      <c r="E1" s="189"/>
      <c r="F1" s="189"/>
      <c r="G1" s="189"/>
      <c r="H1" s="189"/>
      <c r="I1" s="189"/>
      <c r="J1" s="9"/>
      <c r="K1" s="9"/>
      <c r="L1" s="9"/>
      <c r="M1" s="9"/>
      <c r="N1" s="9"/>
      <c r="O1" s="9"/>
      <c r="P1" s="9"/>
      <c r="Q1" s="9"/>
      <c r="R1" s="9"/>
    </row>
    <row r="2" spans="1:25" x14ac:dyDescent="0.25">
      <c r="A2" s="189"/>
      <c r="B2" s="189"/>
      <c r="C2" s="189"/>
      <c r="D2" s="189"/>
      <c r="E2" s="189"/>
      <c r="F2" s="189"/>
      <c r="G2" s="189"/>
      <c r="H2" s="189"/>
      <c r="I2" s="189"/>
      <c r="J2" s="9"/>
      <c r="K2" s="9"/>
      <c r="L2" s="9"/>
      <c r="M2" s="9"/>
      <c r="N2" s="9"/>
      <c r="O2" s="9"/>
      <c r="P2" s="9"/>
      <c r="Q2" s="9"/>
      <c r="R2" s="9"/>
    </row>
    <row r="3" spans="1:25" ht="15.75" thickBot="1" x14ac:dyDescent="0.3">
      <c r="A3" s="190"/>
      <c r="B3" s="190"/>
      <c r="C3" s="190"/>
      <c r="D3" s="190"/>
      <c r="E3" s="190"/>
      <c r="F3" s="190"/>
      <c r="G3" s="190"/>
      <c r="H3" s="190"/>
      <c r="I3" s="190"/>
      <c r="J3" s="9"/>
      <c r="K3" s="9"/>
      <c r="L3" s="9"/>
      <c r="M3" s="9"/>
      <c r="N3" s="9"/>
      <c r="O3" s="9"/>
      <c r="P3" s="9"/>
      <c r="Q3" s="9"/>
      <c r="R3" s="9"/>
    </row>
    <row r="4" spans="1:25" s="113" customFormat="1" ht="22.5" thickTop="1" thickBot="1" x14ac:dyDescent="0.35">
      <c r="A4" s="191" t="s">
        <v>13</v>
      </c>
      <c r="B4" s="192"/>
      <c r="C4" s="1">
        <v>1</v>
      </c>
      <c r="D4" s="1">
        <v>2</v>
      </c>
      <c r="E4" s="1">
        <v>3</v>
      </c>
      <c r="F4" s="1">
        <v>4</v>
      </c>
      <c r="G4" s="1">
        <v>5</v>
      </c>
      <c r="H4" s="1">
        <v>6</v>
      </c>
      <c r="I4" s="1">
        <v>7</v>
      </c>
      <c r="J4" s="1">
        <v>8</v>
      </c>
      <c r="K4" s="1">
        <v>9</v>
      </c>
      <c r="L4" s="1">
        <v>10</v>
      </c>
      <c r="M4" s="1">
        <v>11</v>
      </c>
      <c r="N4" s="1">
        <v>12</v>
      </c>
      <c r="O4" s="1">
        <v>13</v>
      </c>
      <c r="P4" s="1">
        <v>14</v>
      </c>
      <c r="Q4" s="1">
        <v>15</v>
      </c>
      <c r="R4" s="1">
        <v>16</v>
      </c>
      <c r="S4" s="1">
        <v>17</v>
      </c>
      <c r="T4" s="112">
        <v>18</v>
      </c>
      <c r="U4" s="112">
        <v>19</v>
      </c>
      <c r="V4" s="112">
        <v>20</v>
      </c>
      <c r="W4" s="112">
        <v>21</v>
      </c>
      <c r="X4" s="112">
        <v>22</v>
      </c>
      <c r="Y4" s="112">
        <v>23</v>
      </c>
    </row>
    <row r="5" spans="1:25" ht="21.75" thickTop="1" thickBot="1" x14ac:dyDescent="0.35">
      <c r="A5" s="2" t="s">
        <v>0</v>
      </c>
      <c r="B5" s="3" t="s">
        <v>1</v>
      </c>
      <c r="C5" s="4" t="s">
        <v>49</v>
      </c>
      <c r="D5" s="4" t="s">
        <v>50</v>
      </c>
      <c r="E5" s="4" t="s">
        <v>51</v>
      </c>
      <c r="F5" s="4" t="s">
        <v>52</v>
      </c>
      <c r="G5" s="4" t="s">
        <v>48</v>
      </c>
      <c r="H5" s="4" t="s">
        <v>47</v>
      </c>
      <c r="I5" s="4" t="s">
        <v>46</v>
      </c>
      <c r="J5" s="4" t="s">
        <v>45</v>
      </c>
      <c r="K5" s="4" t="s">
        <v>53</v>
      </c>
      <c r="L5" s="4" t="s">
        <v>54</v>
      </c>
      <c r="M5" s="4" t="s">
        <v>61</v>
      </c>
      <c r="N5" s="4" t="s">
        <v>60</v>
      </c>
      <c r="O5" s="4" t="s">
        <v>59</v>
      </c>
      <c r="P5" s="4" t="s">
        <v>58</v>
      </c>
      <c r="Q5" s="4" t="s">
        <v>57</v>
      </c>
      <c r="R5" s="4" t="s">
        <v>56</v>
      </c>
      <c r="S5" s="4" t="s">
        <v>55</v>
      </c>
      <c r="T5" s="114"/>
      <c r="U5" s="114"/>
      <c r="V5" s="114"/>
      <c r="W5" s="114"/>
      <c r="X5" s="114"/>
      <c r="Y5" s="114"/>
    </row>
    <row r="6" spans="1:25" s="8" customFormat="1" ht="16.149999999999999" customHeight="1" thickTop="1" thickBot="1" x14ac:dyDescent="0.3">
      <c r="A6" s="193" t="s">
        <v>2</v>
      </c>
      <c r="B6" s="115" t="s">
        <v>10</v>
      </c>
      <c r="C6" s="65"/>
      <c r="D6" s="66"/>
      <c r="E6" s="66"/>
      <c r="F6" s="66"/>
      <c r="G6" s="66"/>
      <c r="H6" s="66"/>
      <c r="I6" s="66"/>
      <c r="J6" s="95"/>
      <c r="K6" s="95"/>
      <c r="L6" s="95"/>
      <c r="M6" s="66"/>
      <c r="N6" s="66"/>
      <c r="O6" s="66"/>
      <c r="P6" s="66"/>
      <c r="Q6" s="66"/>
      <c r="R6" s="66"/>
      <c r="S6" s="66"/>
      <c r="T6" s="67"/>
      <c r="U6" s="67"/>
      <c r="V6" s="67"/>
      <c r="W6" s="67"/>
      <c r="X6" s="67"/>
      <c r="Y6" s="67"/>
    </row>
    <row r="7" spans="1:25" s="8" customFormat="1" ht="16.149999999999999" customHeight="1" thickTop="1" thickBot="1" x14ac:dyDescent="0.3">
      <c r="A7" s="193"/>
      <c r="B7" s="116" t="s">
        <v>11</v>
      </c>
      <c r="C7" s="68"/>
      <c r="D7" s="69"/>
      <c r="E7" s="69"/>
      <c r="F7" s="69"/>
      <c r="G7" s="69"/>
      <c r="H7" s="69"/>
      <c r="I7" s="69"/>
      <c r="J7" s="96"/>
      <c r="K7" s="96"/>
      <c r="L7" s="96"/>
      <c r="M7" s="69"/>
      <c r="N7" s="69"/>
      <c r="O7" s="69"/>
      <c r="P7" s="69"/>
      <c r="Q7" s="69"/>
      <c r="R7" s="69"/>
      <c r="S7" s="69"/>
      <c r="T7" s="70"/>
      <c r="U7" s="70"/>
      <c r="V7" s="70"/>
      <c r="W7" s="70"/>
      <c r="X7" s="70"/>
      <c r="Y7" s="71"/>
    </row>
    <row r="8" spans="1:25" s="8" customFormat="1" ht="16.149999999999999" customHeight="1" thickTop="1" thickBot="1" x14ac:dyDescent="0.3">
      <c r="A8" s="193"/>
      <c r="B8" s="116" t="s">
        <v>12</v>
      </c>
      <c r="C8" s="68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3"/>
      <c r="U8" s="73"/>
      <c r="V8" s="73"/>
      <c r="W8" s="73"/>
      <c r="X8" s="73"/>
      <c r="Y8" s="71"/>
    </row>
    <row r="9" spans="1:25" s="8" customFormat="1" ht="16.149999999999999" customHeight="1" thickTop="1" thickBot="1" x14ac:dyDescent="0.3">
      <c r="A9" s="193"/>
      <c r="B9" s="116" t="s">
        <v>7</v>
      </c>
      <c r="C9" s="68"/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3"/>
      <c r="U9" s="73"/>
      <c r="V9" s="73"/>
      <c r="W9" s="73"/>
      <c r="X9" s="73"/>
      <c r="Y9" s="71"/>
    </row>
    <row r="10" spans="1:25" s="8" customFormat="1" ht="16.149999999999999" customHeight="1" thickTop="1" thickBot="1" x14ac:dyDescent="0.3">
      <c r="A10" s="193"/>
      <c r="B10" s="116" t="s">
        <v>8</v>
      </c>
      <c r="C10" s="68"/>
      <c r="D10" s="72"/>
      <c r="E10" s="72"/>
      <c r="F10" s="72"/>
      <c r="G10" s="72"/>
      <c r="H10" s="72"/>
      <c r="I10" s="72"/>
      <c r="J10" s="170"/>
      <c r="K10" s="72"/>
      <c r="L10" s="72"/>
      <c r="M10" s="72"/>
      <c r="N10" s="72"/>
      <c r="O10" s="72"/>
      <c r="P10" s="72"/>
      <c r="Q10" s="72"/>
      <c r="R10" s="72"/>
      <c r="S10" s="72"/>
      <c r="T10" s="73"/>
      <c r="U10" s="73"/>
      <c r="V10" s="73"/>
      <c r="W10" s="73"/>
      <c r="X10" s="73"/>
      <c r="Y10" s="71"/>
    </row>
    <row r="11" spans="1:25" s="8" customFormat="1" ht="16.149999999999999" customHeight="1" thickTop="1" thickBot="1" x14ac:dyDescent="0.3">
      <c r="A11" s="193"/>
      <c r="B11" s="117" t="s">
        <v>9</v>
      </c>
      <c r="C11" s="74"/>
      <c r="D11" s="75"/>
      <c r="E11" s="75"/>
      <c r="F11" s="75"/>
      <c r="G11" s="75"/>
      <c r="H11" s="75"/>
      <c r="I11" s="75"/>
      <c r="J11" s="184"/>
      <c r="K11" s="75"/>
      <c r="L11" s="75"/>
      <c r="M11" s="75"/>
      <c r="N11" s="75"/>
      <c r="O11" s="75"/>
      <c r="P11" s="75"/>
      <c r="Q11" s="75"/>
      <c r="R11" s="75"/>
      <c r="S11" s="75"/>
      <c r="T11" s="76"/>
      <c r="U11" s="76"/>
      <c r="V11" s="76"/>
      <c r="W11" s="76"/>
      <c r="X11" s="76"/>
      <c r="Y11" s="77"/>
    </row>
    <row r="12" spans="1:25" s="11" customFormat="1" ht="16.149999999999999" customHeight="1" thickTop="1" thickBot="1" x14ac:dyDescent="0.3">
      <c r="A12" s="193"/>
      <c r="B12" s="118" t="s">
        <v>14</v>
      </c>
      <c r="C12" s="78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80"/>
      <c r="U12" s="80"/>
      <c r="V12" s="80"/>
      <c r="W12" s="80"/>
      <c r="X12" s="80"/>
      <c r="Y12" s="81"/>
    </row>
    <row r="13" spans="1:25" s="11" customFormat="1" ht="16.149999999999999" customHeight="1" thickTop="1" thickBot="1" x14ac:dyDescent="0.3">
      <c r="A13" s="194" t="s">
        <v>3</v>
      </c>
      <c r="B13" s="97" t="s">
        <v>10</v>
      </c>
      <c r="C13" s="82"/>
      <c r="D13" s="86" t="s">
        <v>195</v>
      </c>
      <c r="E13" s="86" t="s">
        <v>195</v>
      </c>
      <c r="F13" s="86" t="s">
        <v>242</v>
      </c>
      <c r="G13" s="86" t="s">
        <v>242</v>
      </c>
      <c r="H13" s="86" t="s">
        <v>242</v>
      </c>
      <c r="I13" s="86" t="s">
        <v>242</v>
      </c>
      <c r="J13" s="86" t="s">
        <v>347</v>
      </c>
      <c r="K13" s="86" t="s">
        <v>347</v>
      </c>
      <c r="L13" s="86" t="s">
        <v>347</v>
      </c>
      <c r="M13" s="83"/>
      <c r="N13" s="83"/>
      <c r="O13" s="83"/>
      <c r="P13" s="83"/>
      <c r="Q13" s="83"/>
      <c r="R13" s="83"/>
      <c r="S13" s="83"/>
      <c r="T13" s="84"/>
      <c r="U13" s="84"/>
      <c r="V13" s="84"/>
      <c r="W13" s="84"/>
      <c r="X13" s="84"/>
      <c r="Y13" s="85"/>
    </row>
    <row r="14" spans="1:25" s="11" customFormat="1" ht="16.5" thickTop="1" thickBot="1" x14ac:dyDescent="0.3">
      <c r="A14" s="194"/>
      <c r="B14" s="119" t="s">
        <v>11</v>
      </c>
      <c r="C14" s="86"/>
      <c r="D14" s="86" t="s">
        <v>195</v>
      </c>
      <c r="E14" s="86" t="s">
        <v>195</v>
      </c>
      <c r="F14" s="86" t="s">
        <v>242</v>
      </c>
      <c r="G14" s="86" t="s">
        <v>242</v>
      </c>
      <c r="H14" s="86" t="s">
        <v>242</v>
      </c>
      <c r="I14" s="86" t="s">
        <v>242</v>
      </c>
      <c r="J14" s="86" t="s">
        <v>347</v>
      </c>
      <c r="K14" s="86" t="s">
        <v>347</v>
      </c>
      <c r="L14" s="86" t="s">
        <v>347</v>
      </c>
      <c r="M14" s="87"/>
      <c r="N14" s="87"/>
      <c r="O14" s="87"/>
      <c r="P14" s="87"/>
      <c r="Q14" s="87"/>
      <c r="R14" s="87"/>
      <c r="S14" s="87"/>
      <c r="T14" s="88"/>
      <c r="U14" s="88"/>
      <c r="V14" s="88"/>
      <c r="W14" s="88"/>
      <c r="X14" s="88"/>
      <c r="Y14" s="71"/>
    </row>
    <row r="15" spans="1:25" s="11" customFormat="1" ht="16.5" thickTop="1" thickBot="1" x14ac:dyDescent="0.3">
      <c r="A15" s="194"/>
      <c r="B15" s="119" t="s">
        <v>12</v>
      </c>
      <c r="C15" s="89"/>
      <c r="D15" s="89"/>
      <c r="E15" s="89"/>
      <c r="F15" s="89"/>
      <c r="G15" s="89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73"/>
      <c r="U15" s="73"/>
      <c r="V15" s="73"/>
      <c r="W15" s="73"/>
      <c r="X15" s="73"/>
      <c r="Y15" s="71"/>
    </row>
    <row r="16" spans="1:25" s="11" customFormat="1" ht="16.149999999999999" customHeight="1" thickTop="1" thickBot="1" x14ac:dyDescent="0.3">
      <c r="A16" s="194"/>
      <c r="B16" s="119" t="s">
        <v>7</v>
      </c>
      <c r="C16" s="86"/>
      <c r="D16" s="86"/>
      <c r="E16" s="86"/>
      <c r="F16" s="86"/>
      <c r="G16" s="86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8"/>
      <c r="U16" s="88"/>
      <c r="V16" s="88"/>
      <c r="W16" s="88"/>
      <c r="X16" s="88"/>
      <c r="Y16" s="71"/>
    </row>
    <row r="17" spans="1:25" s="11" customFormat="1" ht="16.149999999999999" customHeight="1" thickTop="1" thickBot="1" x14ac:dyDescent="0.3">
      <c r="A17" s="194"/>
      <c r="B17" s="119" t="s">
        <v>8</v>
      </c>
      <c r="C17" s="86"/>
      <c r="D17" s="86"/>
      <c r="E17" s="86"/>
      <c r="F17" s="86"/>
      <c r="G17" s="86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8"/>
      <c r="U17" s="88"/>
      <c r="V17" s="88"/>
      <c r="W17" s="88"/>
      <c r="X17" s="88"/>
      <c r="Y17" s="71"/>
    </row>
    <row r="18" spans="1:25" s="8" customFormat="1" ht="16.149999999999999" customHeight="1" thickTop="1" thickBot="1" x14ac:dyDescent="0.3">
      <c r="A18" s="194"/>
      <c r="B18" s="120" t="s">
        <v>9</v>
      </c>
      <c r="C18" s="86"/>
      <c r="D18" s="86"/>
      <c r="E18" s="86"/>
      <c r="F18" s="86"/>
      <c r="G18" s="86"/>
      <c r="H18" s="91"/>
      <c r="I18" s="91"/>
      <c r="J18" s="91"/>
      <c r="K18" s="91"/>
      <c r="L18" s="91"/>
      <c r="M18" s="91"/>
      <c r="N18" s="91"/>
      <c r="O18" s="91"/>
      <c r="P18" s="91"/>
      <c r="Q18" s="91"/>
      <c r="R18" s="91"/>
      <c r="S18" s="91"/>
      <c r="T18" s="92"/>
      <c r="U18" s="92"/>
      <c r="V18" s="92"/>
      <c r="W18" s="92"/>
      <c r="X18" s="92"/>
      <c r="Y18" s="77"/>
    </row>
    <row r="19" spans="1:25" s="8" customFormat="1" ht="16.149999999999999" customHeight="1" thickTop="1" thickBot="1" x14ac:dyDescent="0.3">
      <c r="A19" s="194"/>
      <c r="B19" s="121" t="s">
        <v>14</v>
      </c>
      <c r="C19" s="93"/>
      <c r="D19" s="93"/>
      <c r="E19" s="93"/>
      <c r="F19" s="93"/>
      <c r="G19" s="93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80"/>
      <c r="U19" s="80"/>
      <c r="V19" s="80"/>
      <c r="W19" s="80"/>
      <c r="X19" s="80"/>
      <c r="Y19" s="81"/>
    </row>
    <row r="20" spans="1:25" s="8" customFormat="1" ht="16.149999999999999" customHeight="1" thickTop="1" thickBot="1" x14ac:dyDescent="0.3">
      <c r="A20" s="193" t="s">
        <v>4</v>
      </c>
      <c r="B20" s="115" t="s">
        <v>10</v>
      </c>
      <c r="C20" s="65"/>
      <c r="D20" s="65"/>
      <c r="E20" s="65"/>
      <c r="F20" s="65"/>
      <c r="G20" s="65"/>
      <c r="H20" s="95" t="s">
        <v>305</v>
      </c>
      <c r="I20" s="95" t="s">
        <v>305</v>
      </c>
      <c r="J20" s="95" t="s">
        <v>348</v>
      </c>
      <c r="K20" s="95" t="s">
        <v>348</v>
      </c>
      <c r="L20" s="95" t="s">
        <v>348</v>
      </c>
      <c r="M20" s="95"/>
      <c r="N20" s="95"/>
      <c r="O20" s="95"/>
      <c r="P20" s="95"/>
      <c r="Q20" s="95"/>
      <c r="R20" s="95"/>
      <c r="S20" s="95"/>
      <c r="T20" s="84"/>
      <c r="U20" s="84"/>
      <c r="V20" s="84"/>
      <c r="W20" s="84"/>
      <c r="X20" s="84"/>
      <c r="Y20" s="85"/>
    </row>
    <row r="21" spans="1:25" s="8" customFormat="1" ht="16.149999999999999" customHeight="1" thickTop="1" thickBot="1" x14ac:dyDescent="0.3">
      <c r="A21" s="193"/>
      <c r="B21" s="116" t="s">
        <v>11</v>
      </c>
      <c r="C21" s="68"/>
      <c r="D21" s="68"/>
      <c r="E21" s="68"/>
      <c r="F21" s="68"/>
      <c r="G21" s="68"/>
      <c r="H21" s="96" t="s">
        <v>305</v>
      </c>
      <c r="I21" s="96" t="s">
        <v>305</v>
      </c>
      <c r="J21" s="96" t="s">
        <v>348</v>
      </c>
      <c r="K21" s="96" t="s">
        <v>348</v>
      </c>
      <c r="L21" s="96" t="s">
        <v>348</v>
      </c>
      <c r="M21" s="96"/>
      <c r="N21" s="96"/>
      <c r="O21" s="96"/>
      <c r="P21" s="96"/>
      <c r="Q21" s="96"/>
      <c r="R21" s="96"/>
      <c r="S21" s="96"/>
      <c r="T21" s="88"/>
      <c r="U21" s="88"/>
      <c r="V21" s="88"/>
      <c r="W21" s="88"/>
      <c r="X21" s="88"/>
      <c r="Y21" s="71"/>
    </row>
    <row r="22" spans="1:25" s="8" customFormat="1" ht="16.149999999999999" customHeight="1" thickTop="1" thickBot="1" x14ac:dyDescent="0.3">
      <c r="A22" s="193"/>
      <c r="B22" s="116" t="s">
        <v>12</v>
      </c>
      <c r="C22" s="68"/>
      <c r="D22" s="68"/>
      <c r="E22" s="68"/>
      <c r="F22" s="68"/>
      <c r="G22" s="68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88"/>
      <c r="U22" s="88"/>
      <c r="V22" s="88"/>
      <c r="W22" s="88"/>
      <c r="X22" s="88"/>
      <c r="Y22" s="71"/>
    </row>
    <row r="23" spans="1:25" s="8" customFormat="1" ht="16.149999999999999" customHeight="1" thickTop="1" thickBot="1" x14ac:dyDescent="0.3">
      <c r="A23" s="193"/>
      <c r="B23" s="116" t="s">
        <v>7</v>
      </c>
      <c r="C23" s="68"/>
      <c r="D23" s="68"/>
      <c r="E23" s="68"/>
      <c r="F23" s="68"/>
      <c r="G23" s="68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88"/>
      <c r="U23" s="88"/>
      <c r="V23" s="88"/>
      <c r="W23" s="88"/>
      <c r="X23" s="88"/>
      <c r="Y23" s="71"/>
    </row>
    <row r="24" spans="1:25" s="8" customFormat="1" ht="16.149999999999999" customHeight="1" thickTop="1" thickBot="1" x14ac:dyDescent="0.3">
      <c r="A24" s="193"/>
      <c r="B24" s="116" t="s">
        <v>8</v>
      </c>
      <c r="C24" s="68"/>
      <c r="D24" s="68"/>
      <c r="E24" s="68"/>
      <c r="F24" s="68"/>
      <c r="G24" s="68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3"/>
      <c r="U24" s="73"/>
      <c r="V24" s="73"/>
      <c r="W24" s="73"/>
      <c r="X24" s="73"/>
      <c r="Y24" s="71"/>
    </row>
    <row r="25" spans="1:25" s="11" customFormat="1" ht="16.149999999999999" customHeight="1" thickTop="1" thickBot="1" x14ac:dyDescent="0.3">
      <c r="A25" s="193"/>
      <c r="B25" s="116" t="s">
        <v>9</v>
      </c>
      <c r="C25" s="68"/>
      <c r="D25" s="68"/>
      <c r="E25" s="68"/>
      <c r="F25" s="68"/>
      <c r="G25" s="68"/>
      <c r="H25" s="96"/>
      <c r="I25" s="96"/>
      <c r="J25" s="96"/>
      <c r="K25" s="96"/>
      <c r="L25" s="96"/>
      <c r="M25" s="96"/>
      <c r="N25" s="96"/>
      <c r="O25" s="96"/>
      <c r="P25" s="96"/>
      <c r="Q25" s="96"/>
      <c r="R25" s="96"/>
      <c r="S25" s="96"/>
      <c r="T25" s="88"/>
      <c r="U25" s="88"/>
      <c r="V25" s="88"/>
      <c r="W25" s="88"/>
      <c r="X25" s="88"/>
      <c r="Y25" s="71"/>
    </row>
    <row r="26" spans="1:25" s="11" customFormat="1" ht="16.149999999999999" customHeight="1" thickTop="1" thickBot="1" x14ac:dyDescent="0.3">
      <c r="A26" s="193"/>
      <c r="B26" s="118" t="s">
        <v>14</v>
      </c>
      <c r="C26" s="78"/>
      <c r="D26" s="78"/>
      <c r="E26" s="78"/>
      <c r="F26" s="78"/>
      <c r="G26" s="78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80"/>
      <c r="U26" s="80"/>
      <c r="V26" s="80"/>
      <c r="W26" s="80"/>
      <c r="X26" s="80"/>
      <c r="Y26" s="81"/>
    </row>
    <row r="27" spans="1:25" s="11" customFormat="1" ht="16.149999999999999" customHeight="1" thickTop="1" thickBot="1" x14ac:dyDescent="0.3">
      <c r="A27" s="194" t="s">
        <v>5</v>
      </c>
      <c r="B27" s="97" t="s">
        <v>10</v>
      </c>
      <c r="C27" s="97"/>
      <c r="D27" s="99" t="s">
        <v>148</v>
      </c>
      <c r="E27" s="99" t="s">
        <v>148</v>
      </c>
      <c r="F27" s="99" t="s">
        <v>243</v>
      </c>
      <c r="G27" s="99" t="s">
        <v>243</v>
      </c>
      <c r="H27" s="99" t="s">
        <v>243</v>
      </c>
      <c r="I27" s="99" t="s">
        <v>243</v>
      </c>
      <c r="J27" s="99" t="s">
        <v>349</v>
      </c>
      <c r="K27" s="99" t="s">
        <v>349</v>
      </c>
      <c r="L27" s="98"/>
      <c r="M27" s="98"/>
      <c r="N27" s="98"/>
      <c r="O27" s="98"/>
      <c r="P27" s="98"/>
      <c r="Q27" s="98"/>
      <c r="R27" s="98"/>
      <c r="S27" s="98"/>
      <c r="T27" s="67"/>
      <c r="U27" s="67"/>
      <c r="V27" s="67"/>
      <c r="W27" s="67"/>
      <c r="X27" s="67"/>
      <c r="Y27" s="85"/>
    </row>
    <row r="28" spans="1:25" s="11" customFormat="1" ht="16.149999999999999" customHeight="1" thickTop="1" thickBot="1" x14ac:dyDescent="0.3">
      <c r="A28" s="194"/>
      <c r="B28" s="119" t="s">
        <v>11</v>
      </c>
      <c r="C28" s="86"/>
      <c r="D28" s="99" t="s">
        <v>148</v>
      </c>
      <c r="E28" s="99" t="s">
        <v>148</v>
      </c>
      <c r="F28" s="99" t="s">
        <v>243</v>
      </c>
      <c r="G28" s="99" t="s">
        <v>243</v>
      </c>
      <c r="H28" s="99" t="s">
        <v>243</v>
      </c>
      <c r="I28" s="99" t="s">
        <v>243</v>
      </c>
      <c r="J28" s="99" t="s">
        <v>349</v>
      </c>
      <c r="K28" s="99" t="s">
        <v>349</v>
      </c>
      <c r="L28" s="87"/>
      <c r="M28" s="87"/>
      <c r="N28" s="87"/>
      <c r="O28" s="87"/>
      <c r="P28" s="87"/>
      <c r="Q28" s="87"/>
      <c r="R28" s="87"/>
      <c r="S28" s="87"/>
      <c r="T28" s="88"/>
      <c r="U28" s="88"/>
      <c r="V28" s="88"/>
      <c r="W28" s="88"/>
      <c r="X28" s="88"/>
      <c r="Y28" s="71"/>
    </row>
    <row r="29" spans="1:25" s="11" customFormat="1" ht="16.149999999999999" customHeight="1" thickTop="1" thickBot="1" x14ac:dyDescent="0.3">
      <c r="A29" s="194"/>
      <c r="B29" s="119" t="s">
        <v>12</v>
      </c>
      <c r="C29" s="86"/>
      <c r="D29" s="86"/>
      <c r="E29" s="86"/>
      <c r="F29" s="86"/>
      <c r="G29" s="86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8"/>
      <c r="U29" s="88"/>
      <c r="V29" s="88"/>
      <c r="W29" s="88"/>
      <c r="X29" s="88"/>
      <c r="Y29" s="71"/>
    </row>
    <row r="30" spans="1:25" s="11" customFormat="1" ht="16.149999999999999" customHeight="1" thickTop="1" thickBot="1" x14ac:dyDescent="0.3">
      <c r="A30" s="194"/>
      <c r="B30" s="119" t="s">
        <v>7</v>
      </c>
      <c r="C30" s="99"/>
      <c r="D30" s="99"/>
      <c r="E30" s="99"/>
      <c r="F30" s="99"/>
      <c r="G30" s="99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90"/>
      <c r="S30" s="90"/>
      <c r="T30" s="73"/>
      <c r="U30" s="73"/>
      <c r="V30" s="73"/>
      <c r="W30" s="73"/>
      <c r="X30" s="73"/>
      <c r="Y30" s="71"/>
    </row>
    <row r="31" spans="1:25" s="11" customFormat="1" ht="16.149999999999999" customHeight="1" thickTop="1" thickBot="1" x14ac:dyDescent="0.3">
      <c r="A31" s="194"/>
      <c r="B31" s="119" t="s">
        <v>8</v>
      </c>
      <c r="C31" s="99"/>
      <c r="D31" s="99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90"/>
      <c r="S31" s="90"/>
      <c r="T31" s="73"/>
      <c r="U31" s="73"/>
      <c r="V31" s="73"/>
      <c r="W31" s="73"/>
      <c r="X31" s="73"/>
      <c r="Y31" s="100"/>
    </row>
    <row r="32" spans="1:25" s="8" customFormat="1" ht="16.149999999999999" customHeight="1" thickTop="1" thickBot="1" x14ac:dyDescent="0.3">
      <c r="A32" s="194"/>
      <c r="B32" s="120" t="s">
        <v>9</v>
      </c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73"/>
      <c r="U32" s="73"/>
      <c r="V32" s="73"/>
      <c r="W32" s="73"/>
      <c r="X32" s="73"/>
      <c r="Y32" s="101"/>
    </row>
    <row r="33" spans="1:25" s="8" customFormat="1" ht="16.5" thickTop="1" thickBot="1" x14ac:dyDescent="0.3">
      <c r="A33" s="194"/>
      <c r="B33" s="121" t="s">
        <v>14</v>
      </c>
      <c r="C33" s="90"/>
      <c r="D33" s="90"/>
      <c r="E33" s="90"/>
      <c r="F33" s="90"/>
      <c r="G33" s="90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88"/>
      <c r="U33" s="88"/>
      <c r="V33" s="88"/>
      <c r="W33" s="88"/>
      <c r="X33" s="88"/>
      <c r="Y33" s="81"/>
    </row>
    <row r="34" spans="1:25" s="8" customFormat="1" ht="16.149999999999999" customHeight="1" thickTop="1" thickBot="1" x14ac:dyDescent="0.3">
      <c r="A34" s="188" t="s">
        <v>6</v>
      </c>
      <c r="B34" s="115" t="s">
        <v>10</v>
      </c>
      <c r="C34" s="95"/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84"/>
      <c r="U34" s="84"/>
      <c r="V34" s="84"/>
      <c r="W34" s="84"/>
      <c r="X34" s="84"/>
      <c r="Y34" s="85"/>
    </row>
    <row r="35" spans="1:25" s="8" customFormat="1" ht="16.149999999999999" customHeight="1" thickTop="1" thickBot="1" x14ac:dyDescent="0.3">
      <c r="A35" s="188"/>
      <c r="B35" s="116" t="s">
        <v>11</v>
      </c>
      <c r="C35" s="96"/>
      <c r="D35" s="96"/>
      <c r="E35" s="96"/>
      <c r="F35" s="96"/>
      <c r="G35" s="96"/>
      <c r="H35" s="96"/>
      <c r="I35" s="96"/>
      <c r="J35" s="96"/>
      <c r="K35" s="96"/>
      <c r="L35" s="96"/>
      <c r="M35" s="96"/>
      <c r="N35" s="96"/>
      <c r="O35" s="96"/>
      <c r="P35" s="96"/>
      <c r="Q35" s="96"/>
      <c r="R35" s="96"/>
      <c r="S35" s="96"/>
      <c r="T35" s="88"/>
      <c r="U35" s="88"/>
      <c r="V35" s="88"/>
      <c r="W35" s="88"/>
      <c r="X35" s="88"/>
      <c r="Y35" s="71"/>
    </row>
    <row r="36" spans="1:25" s="8" customFormat="1" ht="16.149999999999999" customHeight="1" thickTop="1" thickBot="1" x14ac:dyDescent="0.3">
      <c r="A36" s="188"/>
      <c r="B36" s="116" t="s">
        <v>12</v>
      </c>
      <c r="C36" s="96"/>
      <c r="D36" s="96"/>
      <c r="E36" s="96"/>
      <c r="F36" s="96"/>
      <c r="G36" s="96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69"/>
      <c r="S36" s="69"/>
      <c r="T36" s="70"/>
      <c r="U36" s="70"/>
      <c r="V36" s="70"/>
      <c r="W36" s="70"/>
      <c r="X36" s="70"/>
      <c r="Y36" s="71"/>
    </row>
    <row r="37" spans="1:25" ht="16.149999999999999" customHeight="1" thickTop="1" thickBot="1" x14ac:dyDescent="0.3">
      <c r="A37" s="188"/>
      <c r="B37" s="116" t="s">
        <v>7</v>
      </c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3"/>
      <c r="U37" s="73"/>
      <c r="V37" s="73"/>
      <c r="W37" s="73"/>
      <c r="X37" s="73"/>
      <c r="Y37" s="100"/>
    </row>
    <row r="38" spans="1:25" ht="16.149999999999999" customHeight="1" thickTop="1" thickBot="1" x14ac:dyDescent="0.3">
      <c r="A38" s="188"/>
      <c r="B38" s="116" t="s">
        <v>8</v>
      </c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3"/>
      <c r="U38" s="73"/>
      <c r="V38" s="73"/>
      <c r="W38" s="73"/>
      <c r="X38" s="73"/>
      <c r="Y38" s="71"/>
    </row>
    <row r="39" spans="1:25" ht="16.149999999999999" customHeight="1" thickTop="1" thickBot="1" x14ac:dyDescent="0.3">
      <c r="A39" s="188"/>
      <c r="B39" s="117" t="s">
        <v>9</v>
      </c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6"/>
      <c r="U39" s="76"/>
      <c r="V39" s="76"/>
      <c r="W39" s="76"/>
      <c r="X39" s="76"/>
      <c r="Y39" s="77"/>
    </row>
    <row r="40" spans="1:25" ht="16.149999999999999" customHeight="1" thickTop="1" thickBot="1" x14ac:dyDescent="0.3">
      <c r="A40" s="188"/>
      <c r="B40" s="118" t="s">
        <v>14</v>
      </c>
      <c r="C40" s="102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3"/>
      <c r="S40" s="103"/>
      <c r="T40" s="104"/>
      <c r="U40" s="104"/>
      <c r="V40" s="104"/>
      <c r="W40" s="104"/>
      <c r="X40" s="104"/>
      <c r="Y40" s="105"/>
    </row>
    <row r="41" spans="1:25" ht="16.149999999999999" customHeight="1" thickTop="1" thickBot="1" x14ac:dyDescent="0.3">
      <c r="A41" s="188" t="s">
        <v>24</v>
      </c>
      <c r="B41" s="106" t="s">
        <v>10</v>
      </c>
      <c r="C41" s="106"/>
      <c r="D41" s="106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84"/>
      <c r="U41" s="84"/>
      <c r="V41" s="84"/>
      <c r="W41" s="84"/>
      <c r="X41" s="84"/>
      <c r="Y41" s="84"/>
    </row>
    <row r="42" spans="1:25" ht="16.149999999999999" customHeight="1" thickTop="1" thickBot="1" x14ac:dyDescent="0.3">
      <c r="A42" s="188"/>
      <c r="B42" s="107" t="s">
        <v>11</v>
      </c>
      <c r="C42" s="107"/>
      <c r="D42" s="107"/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88"/>
      <c r="U42" s="88"/>
      <c r="V42" s="88"/>
      <c r="W42" s="88"/>
      <c r="X42" s="88"/>
      <c r="Y42" s="88"/>
    </row>
    <row r="43" spans="1:25" ht="16.149999999999999" customHeight="1" thickTop="1" thickBot="1" x14ac:dyDescent="0.3">
      <c r="A43" s="188"/>
      <c r="B43" s="108" t="s">
        <v>12</v>
      </c>
      <c r="C43" s="108"/>
      <c r="D43" s="108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69"/>
      <c r="Q43" s="69"/>
      <c r="R43" s="69"/>
      <c r="S43" s="69"/>
      <c r="T43" s="70"/>
      <c r="U43" s="70"/>
      <c r="V43" s="70"/>
      <c r="W43" s="70"/>
      <c r="X43" s="70"/>
      <c r="Y43" s="70"/>
    </row>
    <row r="44" spans="1:25" ht="16.5" thickTop="1" thickBot="1" x14ac:dyDescent="0.3">
      <c r="A44" s="188"/>
      <c r="B44" s="109" t="s">
        <v>7</v>
      </c>
      <c r="C44" s="109"/>
      <c r="D44" s="109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3"/>
      <c r="U44" s="73"/>
      <c r="V44" s="73"/>
      <c r="W44" s="73"/>
      <c r="X44" s="73"/>
      <c r="Y44" s="73"/>
    </row>
    <row r="45" spans="1:25" ht="16.5" thickTop="1" thickBot="1" x14ac:dyDescent="0.3">
      <c r="A45" s="188"/>
      <c r="B45" s="109" t="s">
        <v>8</v>
      </c>
      <c r="C45" s="109"/>
      <c r="D45" s="109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3"/>
      <c r="U45" s="73"/>
      <c r="V45" s="73"/>
      <c r="W45" s="73"/>
      <c r="X45" s="73"/>
      <c r="Y45" s="73"/>
    </row>
    <row r="46" spans="1:25" ht="16.5" thickTop="1" thickBot="1" x14ac:dyDescent="0.3">
      <c r="A46" s="188"/>
      <c r="B46" s="110" t="s">
        <v>9</v>
      </c>
      <c r="C46" s="110"/>
      <c r="D46" s="110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5"/>
      <c r="S46" s="75"/>
      <c r="T46" s="76"/>
      <c r="U46" s="76"/>
      <c r="V46" s="76"/>
      <c r="W46" s="76"/>
      <c r="X46" s="76"/>
      <c r="Y46" s="76"/>
    </row>
    <row r="47" spans="1:25" ht="16.5" thickTop="1" thickBot="1" x14ac:dyDescent="0.3">
      <c r="A47" s="188"/>
      <c r="B47" s="118" t="s">
        <v>14</v>
      </c>
      <c r="C47" s="111"/>
      <c r="D47" s="111"/>
      <c r="E47" s="103"/>
      <c r="F47" s="103"/>
      <c r="G47" s="103"/>
      <c r="H47" s="103"/>
      <c r="I47" s="103"/>
      <c r="J47" s="103"/>
      <c r="K47" s="103"/>
      <c r="L47" s="103"/>
      <c r="M47" s="103"/>
      <c r="N47" s="103"/>
      <c r="O47" s="103"/>
      <c r="P47" s="103"/>
      <c r="Q47" s="103"/>
      <c r="R47" s="103"/>
      <c r="S47" s="103"/>
      <c r="T47" s="104"/>
      <c r="U47" s="104"/>
      <c r="V47" s="104"/>
      <c r="W47" s="104"/>
      <c r="X47" s="104"/>
      <c r="Y47" s="104"/>
    </row>
    <row r="48" spans="1:25" ht="15.75" thickTop="1" x14ac:dyDescent="0.25"/>
    <row r="49" spans="1:5" x14ac:dyDescent="0.25">
      <c r="A49" t="s">
        <v>42</v>
      </c>
      <c r="B49" s="122" t="s">
        <v>43</v>
      </c>
    </row>
    <row r="50" spans="1:5" x14ac:dyDescent="0.25">
      <c r="A50" s="146" t="s">
        <v>308</v>
      </c>
      <c r="B50" s="139" t="s">
        <v>133</v>
      </c>
      <c r="E50" s="125"/>
    </row>
    <row r="51" spans="1:5" x14ac:dyDescent="0.25">
      <c r="A51" s="145" t="s">
        <v>170</v>
      </c>
      <c r="B51" s="140" t="s">
        <v>134</v>
      </c>
      <c r="E51" s="125"/>
    </row>
    <row r="52" spans="1:5" x14ac:dyDescent="0.25">
      <c r="A52" s="145" t="s">
        <v>308</v>
      </c>
      <c r="B52" s="140" t="s">
        <v>135</v>
      </c>
      <c r="E52" s="125"/>
    </row>
    <row r="53" spans="1:5" x14ac:dyDescent="0.25">
      <c r="A53" s="126"/>
      <c r="B53" s="127"/>
      <c r="E53" s="125"/>
    </row>
    <row r="54" spans="1:5" x14ac:dyDescent="0.25">
      <c r="A54" s="126"/>
      <c r="B54" s="127"/>
      <c r="E54" s="125"/>
    </row>
    <row r="55" spans="1:5" x14ac:dyDescent="0.25">
      <c r="A55" s="128"/>
      <c r="B55" s="129"/>
      <c r="E55" s="125"/>
    </row>
    <row r="56" spans="1:5" x14ac:dyDescent="0.25">
      <c r="A56" s="128"/>
      <c r="B56" s="129"/>
      <c r="E56" s="125"/>
    </row>
    <row r="57" spans="1:5" x14ac:dyDescent="0.25">
      <c r="A57" s="128"/>
      <c r="B57" s="129"/>
      <c r="E57" s="125"/>
    </row>
    <row r="58" spans="1:5" x14ac:dyDescent="0.25">
      <c r="A58" s="128"/>
      <c r="B58" s="129"/>
      <c r="E58" s="125"/>
    </row>
    <row r="59" spans="1:5" x14ac:dyDescent="0.25">
      <c r="A59" s="128"/>
      <c r="B59" s="129"/>
      <c r="E59" s="125"/>
    </row>
    <row r="60" spans="1:5" x14ac:dyDescent="0.25">
      <c r="A60" s="128"/>
      <c r="B60" s="129"/>
      <c r="E60" s="125"/>
    </row>
    <row r="61" spans="1:5" x14ac:dyDescent="0.25">
      <c r="A61" s="128"/>
      <c r="B61" s="129"/>
      <c r="E61" s="125"/>
    </row>
    <row r="62" spans="1:5" x14ac:dyDescent="0.25">
      <c r="A62" s="128"/>
      <c r="B62" s="129"/>
      <c r="E62" s="125"/>
    </row>
    <row r="63" spans="1:5" x14ac:dyDescent="0.25">
      <c r="A63" s="128"/>
      <c r="B63" s="129"/>
      <c r="E63" s="125"/>
    </row>
    <row r="64" spans="1:5" x14ac:dyDescent="0.25">
      <c r="A64" s="128"/>
      <c r="B64" s="129"/>
      <c r="E64" s="125"/>
    </row>
    <row r="65" spans="1:5" x14ac:dyDescent="0.25">
      <c r="A65" s="128"/>
      <c r="B65" s="129"/>
      <c r="E65" s="125"/>
    </row>
    <row r="66" spans="1:5" x14ac:dyDescent="0.25">
      <c r="A66" s="128"/>
      <c r="B66" s="129"/>
      <c r="E66" s="125"/>
    </row>
    <row r="67" spans="1:5" x14ac:dyDescent="0.25">
      <c r="A67" s="128"/>
      <c r="B67" s="129"/>
      <c r="E67" s="125"/>
    </row>
    <row r="68" spans="1:5" x14ac:dyDescent="0.25">
      <c r="A68" s="128"/>
      <c r="B68" s="129"/>
    </row>
    <row r="69" spans="1:5" x14ac:dyDescent="0.25">
      <c r="A69" s="128"/>
      <c r="B69" s="129"/>
    </row>
    <row r="70" spans="1:5" x14ac:dyDescent="0.25">
      <c r="A70" s="130"/>
      <c r="B70" s="131"/>
    </row>
  </sheetData>
  <mergeCells count="8">
    <mergeCell ref="A27:A33"/>
    <mergeCell ref="A34:A40"/>
    <mergeCell ref="A41:A47"/>
    <mergeCell ref="A1:I3"/>
    <mergeCell ref="A4:B4"/>
    <mergeCell ref="A6:A12"/>
    <mergeCell ref="A13:A19"/>
    <mergeCell ref="A20:A26"/>
  </mergeCells>
  <conditionalFormatting sqref="D6:Y6">
    <cfRule type="containsText" dxfId="92" priority="13" operator="containsText" text=" Анікєєв">
      <formula>NOT(ISERROR(SEARCH(" Анікєєв",D6)))</formula>
    </cfRule>
  </conditionalFormatting>
  <conditionalFormatting sqref="D7:X7">
    <cfRule type="containsText" dxfId="91" priority="12" operator="containsText" text=" Анікєєв">
      <formula>NOT(ISERROR(SEARCH(" Анікєєв",D7)))</formula>
    </cfRule>
  </conditionalFormatting>
  <conditionalFormatting sqref="D8:X8">
    <cfRule type="containsText" dxfId="90" priority="11" operator="containsText" text=" Анікєєв">
      <formula>NOT(ISERROR(SEARCH(" Анікєєв",D8)))</formula>
    </cfRule>
  </conditionalFormatting>
  <conditionalFormatting sqref="D9:X9">
    <cfRule type="containsText" dxfId="89" priority="10" operator="containsText" text=" Анікєєв">
      <formula>NOT(ISERROR(SEARCH(" Анікєєв",D9)))</formula>
    </cfRule>
  </conditionalFormatting>
  <conditionalFormatting sqref="D10:X11">
    <cfRule type="containsText" dxfId="88" priority="9" operator="containsText" text=" Анікєєв">
      <formula>NOT(ISERROR(SEARCH(" Анікєєв",D10)))</formula>
    </cfRule>
  </conditionalFormatting>
  <conditionalFormatting sqref="D12:X12">
    <cfRule type="containsText" dxfId="87" priority="8" operator="containsText" text=" Анікєєв">
      <formula>NOT(ISERROR(SEARCH(" Анікєєв",D12)))</formula>
    </cfRule>
  </conditionalFormatting>
  <conditionalFormatting sqref="H15:X19 M13:X14">
    <cfRule type="containsText" dxfId="86" priority="7" operator="containsText" text=" Анікєєв">
      <formula>NOT(ISERROR(SEARCH(" Анікєєв",H13)))</formula>
    </cfRule>
  </conditionalFormatting>
  <conditionalFormatting sqref="H20:X25">
    <cfRule type="containsText" dxfId="85" priority="6" operator="containsText" text=" Анікєєв">
      <formula>NOT(ISERROR(SEARCH(" Анікєєв",H20)))</formula>
    </cfRule>
  </conditionalFormatting>
  <conditionalFormatting sqref="H29:X32 L27:X28">
    <cfRule type="containsText" dxfId="84" priority="5" operator="containsText" text=" Анікєєв">
      <formula>NOT(ISERROR(SEARCH(" Анікєєв",H27)))</formula>
    </cfRule>
  </conditionalFormatting>
  <conditionalFormatting sqref="H34:X34">
    <cfRule type="containsText" dxfId="83" priority="4" operator="containsText" text=" Анікєєв">
      <formula>NOT(ISERROR(SEARCH(" Анікєєв",H34)))</formula>
    </cfRule>
  </conditionalFormatting>
  <conditionalFormatting sqref="H33:X33">
    <cfRule type="containsText" dxfId="82" priority="3" operator="containsText" text=" Анікєєв">
      <formula>NOT(ISERROR(SEARCH(" Анікєєв",H33)))</formula>
    </cfRule>
  </conditionalFormatting>
  <conditionalFormatting sqref="C34:C40 D34:G36">
    <cfRule type="containsText" dxfId="81" priority="2" operator="containsText" text=" Анікєєв">
      <formula>NOT(ISERROR(SEARCH(" Анікєєв",C34)))</formula>
    </cfRule>
  </conditionalFormatting>
  <conditionalFormatting sqref="B41:Y41">
    <cfRule type="containsText" dxfId="80" priority="1" operator="containsText" text=" Анікєєв">
      <formula>NOT(ISERROR(SEARCH(" Анікєєв",B41)))</formula>
    </cfRule>
  </conditionalFormatting>
  <pageMargins left="0.70866141732283472" right="0.70866141732283472" top="0.74803149606299213" bottom="0.74803149606299213" header="0.31496062992125984" footer="0.31496062992125984"/>
  <pageSetup paperSize="9" scale="58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pageSetUpPr fitToPage="1"/>
  </sheetPr>
  <dimension ref="A1:Y70"/>
  <sheetViews>
    <sheetView zoomScale="95" zoomScaleNormal="95" workbookViewId="0">
      <pane xSplit="7" ySplit="5" topLeftCell="H6" activePane="bottomRight" state="frozenSplit"/>
      <selection pane="topRight" activeCell="K1" sqref="K1"/>
      <selection pane="bottomLeft" activeCell="A66" sqref="A66"/>
      <selection pane="bottomRight" activeCell="J38" sqref="J38"/>
    </sheetView>
  </sheetViews>
  <sheetFormatPr defaultRowHeight="15" x14ac:dyDescent="0.25"/>
  <cols>
    <col min="1" max="1" width="21.7109375" customWidth="1"/>
    <col min="2" max="2" width="11.85546875" customWidth="1"/>
    <col min="3" max="7" width="25" hidden="1" customWidth="1"/>
    <col min="8" max="9" width="25" customWidth="1"/>
    <col min="10" max="10" width="25" bestFit="1" customWidth="1"/>
    <col min="11" max="11" width="25" customWidth="1"/>
    <col min="12" max="14" width="25" bestFit="1" customWidth="1"/>
    <col min="15" max="15" width="28.85546875" customWidth="1"/>
    <col min="16" max="16" width="31.28515625" customWidth="1"/>
    <col min="17" max="17" width="28.42578125" customWidth="1"/>
    <col min="18" max="18" width="24.28515625" bestFit="1" customWidth="1"/>
    <col min="19" max="21" width="25" bestFit="1" customWidth="1"/>
    <col min="22" max="22" width="25" customWidth="1"/>
    <col min="23" max="23" width="25" bestFit="1" customWidth="1"/>
    <col min="24" max="24" width="25" customWidth="1"/>
    <col min="25" max="25" width="25" bestFit="1" customWidth="1"/>
  </cols>
  <sheetData>
    <row r="1" spans="1:25" ht="15" customHeight="1" x14ac:dyDescent="0.25">
      <c r="A1" s="189" t="s">
        <v>17</v>
      </c>
      <c r="B1" s="189"/>
      <c r="C1" s="189"/>
      <c r="D1" s="189"/>
      <c r="E1" s="189"/>
      <c r="F1" s="189"/>
      <c r="G1" s="189"/>
      <c r="H1" s="189"/>
      <c r="I1" s="189"/>
      <c r="J1" s="9"/>
      <c r="K1" s="9"/>
      <c r="L1" s="9"/>
      <c r="M1" s="9"/>
      <c r="N1" s="9"/>
      <c r="O1" s="9"/>
      <c r="P1" s="9"/>
      <c r="Q1" s="9"/>
      <c r="R1" s="9"/>
    </row>
    <row r="2" spans="1:25" x14ac:dyDescent="0.25">
      <c r="A2" s="189"/>
      <c r="B2" s="189"/>
      <c r="C2" s="189"/>
      <c r="D2" s="189"/>
      <c r="E2" s="189"/>
      <c r="F2" s="189"/>
      <c r="G2" s="189"/>
      <c r="H2" s="189"/>
      <c r="I2" s="189"/>
      <c r="J2" s="9"/>
      <c r="K2" s="9"/>
      <c r="L2" s="9"/>
      <c r="M2" s="9"/>
      <c r="N2" s="9"/>
      <c r="O2" s="9"/>
      <c r="P2" s="9"/>
      <c r="Q2" s="9"/>
      <c r="R2" s="9"/>
    </row>
    <row r="3" spans="1:25" ht="15.75" thickBot="1" x14ac:dyDescent="0.3">
      <c r="A3" s="190"/>
      <c r="B3" s="190"/>
      <c r="C3" s="190"/>
      <c r="D3" s="190"/>
      <c r="E3" s="190"/>
      <c r="F3" s="190"/>
      <c r="G3" s="190"/>
      <c r="H3" s="190"/>
      <c r="I3" s="190"/>
      <c r="J3" s="9"/>
      <c r="K3" s="9"/>
      <c r="L3" s="9"/>
      <c r="M3" s="9"/>
      <c r="N3" s="9"/>
      <c r="O3" s="9"/>
      <c r="P3" s="9"/>
      <c r="Q3" s="9"/>
      <c r="R3" s="9"/>
    </row>
    <row r="4" spans="1:25" s="113" customFormat="1" ht="22.5" thickTop="1" thickBot="1" x14ac:dyDescent="0.35">
      <c r="A4" s="191" t="s">
        <v>13</v>
      </c>
      <c r="B4" s="192"/>
      <c r="C4" s="1">
        <v>1</v>
      </c>
      <c r="D4" s="1">
        <v>2</v>
      </c>
      <c r="E4" s="1">
        <v>3</v>
      </c>
      <c r="F4" s="1">
        <v>4</v>
      </c>
      <c r="G4" s="1">
        <v>5</v>
      </c>
      <c r="H4" s="1">
        <v>6</v>
      </c>
      <c r="I4" s="1">
        <v>7</v>
      </c>
      <c r="J4" s="1">
        <v>8</v>
      </c>
      <c r="K4" s="1">
        <v>9</v>
      </c>
      <c r="L4" s="1">
        <v>10</v>
      </c>
      <c r="M4" s="1">
        <v>11</v>
      </c>
      <c r="N4" s="1">
        <v>12</v>
      </c>
      <c r="O4" s="1">
        <v>13</v>
      </c>
      <c r="P4" s="1">
        <v>14</v>
      </c>
      <c r="Q4" s="1">
        <v>15</v>
      </c>
      <c r="R4" s="1">
        <v>16</v>
      </c>
      <c r="S4" s="1">
        <v>17</v>
      </c>
      <c r="T4" s="112">
        <v>18</v>
      </c>
      <c r="U4" s="112">
        <v>19</v>
      </c>
      <c r="V4" s="112">
        <v>20</v>
      </c>
      <c r="W4" s="112">
        <v>21</v>
      </c>
      <c r="X4" s="112">
        <v>22</v>
      </c>
      <c r="Y4" s="112">
        <v>23</v>
      </c>
    </row>
    <row r="5" spans="1:25" ht="21.75" thickTop="1" thickBot="1" x14ac:dyDescent="0.35">
      <c r="A5" s="2" t="s">
        <v>0</v>
      </c>
      <c r="B5" s="3" t="s">
        <v>1</v>
      </c>
      <c r="C5" s="4" t="s">
        <v>49</v>
      </c>
      <c r="D5" s="4" t="s">
        <v>50</v>
      </c>
      <c r="E5" s="4" t="s">
        <v>51</v>
      </c>
      <c r="F5" s="4" t="s">
        <v>52</v>
      </c>
      <c r="G5" s="4" t="s">
        <v>48</v>
      </c>
      <c r="H5" s="4" t="s">
        <v>47</v>
      </c>
      <c r="I5" s="4" t="s">
        <v>46</v>
      </c>
      <c r="J5" s="4" t="s">
        <v>45</v>
      </c>
      <c r="K5" s="4" t="s">
        <v>53</v>
      </c>
      <c r="L5" s="4" t="s">
        <v>54</v>
      </c>
      <c r="M5" s="4" t="s">
        <v>61</v>
      </c>
      <c r="N5" s="4" t="s">
        <v>60</v>
      </c>
      <c r="O5" s="4" t="s">
        <v>59</v>
      </c>
      <c r="P5" s="4" t="s">
        <v>58</v>
      </c>
      <c r="Q5" s="4" t="s">
        <v>57</v>
      </c>
      <c r="R5" s="4" t="s">
        <v>56</v>
      </c>
      <c r="S5" s="4" t="s">
        <v>55</v>
      </c>
      <c r="T5" s="114"/>
      <c r="U5" s="114"/>
      <c r="V5" s="114"/>
      <c r="W5" s="114"/>
      <c r="X5" s="114"/>
      <c r="Y5" s="114"/>
    </row>
    <row r="6" spans="1:25" s="8" customFormat="1" ht="16.149999999999999" customHeight="1" thickTop="1" thickBot="1" x14ac:dyDescent="0.3">
      <c r="A6" s="193" t="s">
        <v>2</v>
      </c>
      <c r="B6" s="115" t="s">
        <v>10</v>
      </c>
      <c r="C6" s="65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7"/>
      <c r="U6" s="67"/>
      <c r="V6" s="67"/>
      <c r="W6" s="67"/>
      <c r="X6" s="67"/>
      <c r="Y6" s="67"/>
    </row>
    <row r="7" spans="1:25" s="8" customFormat="1" ht="16.149999999999999" customHeight="1" thickTop="1" thickBot="1" x14ac:dyDescent="0.3">
      <c r="A7" s="193"/>
      <c r="B7" s="116" t="s">
        <v>11</v>
      </c>
      <c r="C7" s="68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69"/>
      <c r="S7" s="69"/>
      <c r="T7" s="70"/>
      <c r="U7" s="70"/>
      <c r="V7" s="70"/>
      <c r="W7" s="70"/>
      <c r="X7" s="70"/>
      <c r="Y7" s="71"/>
    </row>
    <row r="8" spans="1:25" s="8" customFormat="1" ht="16.149999999999999" customHeight="1" thickTop="1" thickBot="1" x14ac:dyDescent="0.3">
      <c r="A8" s="193"/>
      <c r="B8" s="116" t="s">
        <v>12</v>
      </c>
      <c r="C8" s="68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3"/>
      <c r="U8" s="73"/>
      <c r="V8" s="73"/>
      <c r="W8" s="73"/>
      <c r="X8" s="73"/>
      <c r="Y8" s="71"/>
    </row>
    <row r="9" spans="1:25" s="8" customFormat="1" ht="16.149999999999999" customHeight="1" thickTop="1" thickBot="1" x14ac:dyDescent="0.3">
      <c r="A9" s="193"/>
      <c r="B9" s="116" t="s">
        <v>7</v>
      </c>
      <c r="C9" s="68"/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3"/>
      <c r="U9" s="73"/>
      <c r="V9" s="73"/>
      <c r="W9" s="73"/>
      <c r="X9" s="73"/>
      <c r="Y9" s="71"/>
    </row>
    <row r="10" spans="1:25" s="8" customFormat="1" ht="16.149999999999999" customHeight="1" thickTop="1" thickBot="1" x14ac:dyDescent="0.3">
      <c r="A10" s="193"/>
      <c r="B10" s="116" t="s">
        <v>8</v>
      </c>
      <c r="C10" s="68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3"/>
      <c r="U10" s="73"/>
      <c r="V10" s="73"/>
      <c r="W10" s="73"/>
      <c r="X10" s="73"/>
      <c r="Y10" s="71"/>
    </row>
    <row r="11" spans="1:25" s="8" customFormat="1" ht="16.149999999999999" customHeight="1" thickTop="1" thickBot="1" x14ac:dyDescent="0.3">
      <c r="A11" s="193"/>
      <c r="B11" s="117" t="s">
        <v>9</v>
      </c>
      <c r="C11" s="74"/>
      <c r="D11" s="75"/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6"/>
      <c r="U11" s="76"/>
      <c r="V11" s="76"/>
      <c r="W11" s="76"/>
      <c r="X11" s="76"/>
      <c r="Y11" s="77"/>
    </row>
    <row r="12" spans="1:25" s="11" customFormat="1" ht="16.149999999999999" customHeight="1" thickTop="1" thickBot="1" x14ac:dyDescent="0.3">
      <c r="A12" s="193"/>
      <c r="B12" s="118" t="s">
        <v>14</v>
      </c>
      <c r="C12" s="78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80"/>
      <c r="U12" s="80"/>
      <c r="V12" s="80"/>
      <c r="W12" s="80"/>
      <c r="X12" s="80"/>
      <c r="Y12" s="81"/>
    </row>
    <row r="13" spans="1:25" s="11" customFormat="1" ht="16.149999999999999" customHeight="1" thickTop="1" thickBot="1" x14ac:dyDescent="0.3">
      <c r="A13" s="194" t="s">
        <v>3</v>
      </c>
      <c r="B13" s="97" t="s">
        <v>10</v>
      </c>
      <c r="C13" s="82"/>
      <c r="D13" s="83"/>
      <c r="E13" s="83"/>
      <c r="F13" s="83"/>
      <c r="G13" s="83"/>
      <c r="H13" s="83"/>
      <c r="I13" s="83"/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4"/>
      <c r="U13" s="84"/>
      <c r="V13" s="84"/>
      <c r="W13" s="84"/>
      <c r="X13" s="84"/>
      <c r="Y13" s="85"/>
    </row>
    <row r="14" spans="1:25" s="11" customFormat="1" ht="16.5" thickTop="1" thickBot="1" x14ac:dyDescent="0.3">
      <c r="A14" s="194"/>
      <c r="B14" s="119" t="s">
        <v>11</v>
      </c>
      <c r="C14" s="86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8"/>
      <c r="U14" s="88"/>
      <c r="V14" s="88"/>
      <c r="W14" s="88"/>
      <c r="X14" s="88"/>
      <c r="Y14" s="71"/>
    </row>
    <row r="15" spans="1:25" s="11" customFormat="1" ht="16.5" thickTop="1" thickBot="1" x14ac:dyDescent="0.3">
      <c r="A15" s="194"/>
      <c r="B15" s="119" t="s">
        <v>12</v>
      </c>
      <c r="C15" s="89"/>
      <c r="D15" s="90"/>
      <c r="E15" s="90"/>
      <c r="F15" s="90"/>
      <c r="G15" s="90"/>
      <c r="H15" s="90" t="s">
        <v>304</v>
      </c>
      <c r="I15" s="90" t="s">
        <v>304</v>
      </c>
      <c r="J15" s="90" t="s">
        <v>346</v>
      </c>
      <c r="K15" s="90" t="s">
        <v>346</v>
      </c>
      <c r="L15" s="90" t="s">
        <v>346</v>
      </c>
      <c r="M15" s="90"/>
      <c r="N15" s="90"/>
      <c r="O15" s="90"/>
      <c r="P15" s="90"/>
      <c r="Q15" s="90"/>
      <c r="R15" s="90"/>
      <c r="S15" s="90"/>
      <c r="T15" s="73"/>
      <c r="U15" s="73"/>
      <c r="V15" s="73"/>
      <c r="W15" s="73"/>
      <c r="X15" s="73"/>
      <c r="Y15" s="71"/>
    </row>
    <row r="16" spans="1:25" s="11" customFormat="1" ht="16.149999999999999" customHeight="1" thickTop="1" thickBot="1" x14ac:dyDescent="0.3">
      <c r="A16" s="194"/>
      <c r="B16" s="119" t="s">
        <v>7</v>
      </c>
      <c r="C16" s="86"/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8"/>
      <c r="U16" s="88"/>
      <c r="V16" s="88"/>
      <c r="W16" s="88"/>
      <c r="X16" s="88"/>
      <c r="Y16" s="71"/>
    </row>
    <row r="17" spans="1:25" s="11" customFormat="1" ht="16.149999999999999" customHeight="1" thickTop="1" thickBot="1" x14ac:dyDescent="0.3">
      <c r="A17" s="194"/>
      <c r="B17" s="119" t="s">
        <v>8</v>
      </c>
      <c r="C17" s="86"/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8"/>
      <c r="U17" s="88"/>
      <c r="V17" s="88"/>
      <c r="W17" s="88"/>
      <c r="X17" s="88"/>
      <c r="Y17" s="71"/>
    </row>
    <row r="18" spans="1:25" s="8" customFormat="1" ht="16.149999999999999" customHeight="1" thickTop="1" thickBot="1" x14ac:dyDescent="0.3">
      <c r="A18" s="194"/>
      <c r="B18" s="120" t="s">
        <v>9</v>
      </c>
      <c r="C18" s="86"/>
      <c r="D18" s="91"/>
      <c r="E18" s="91"/>
      <c r="F18" s="91"/>
      <c r="G18" s="91"/>
      <c r="H18" s="91"/>
      <c r="I18" s="91"/>
      <c r="J18" s="91"/>
      <c r="K18" s="91"/>
      <c r="L18" s="91"/>
      <c r="M18" s="91"/>
      <c r="N18" s="91"/>
      <c r="O18" s="91"/>
      <c r="P18" s="91"/>
      <c r="Q18" s="91"/>
      <c r="R18" s="91"/>
      <c r="S18" s="91"/>
      <c r="T18" s="92"/>
      <c r="U18" s="92"/>
      <c r="V18" s="92"/>
      <c r="W18" s="92"/>
      <c r="X18" s="92"/>
      <c r="Y18" s="77"/>
    </row>
    <row r="19" spans="1:25" s="8" customFormat="1" ht="16.149999999999999" customHeight="1" thickTop="1" thickBot="1" x14ac:dyDescent="0.3">
      <c r="A19" s="194"/>
      <c r="B19" s="121" t="s">
        <v>14</v>
      </c>
      <c r="C19" s="93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80"/>
      <c r="U19" s="80"/>
      <c r="V19" s="80"/>
      <c r="W19" s="80"/>
      <c r="X19" s="80"/>
      <c r="Y19" s="81"/>
    </row>
    <row r="20" spans="1:25" s="8" customFormat="1" ht="16.149999999999999" customHeight="1" thickTop="1" thickBot="1" x14ac:dyDescent="0.3">
      <c r="A20" s="193" t="s">
        <v>4</v>
      </c>
      <c r="B20" s="115" t="s">
        <v>10</v>
      </c>
      <c r="C20" s="65"/>
      <c r="D20" s="95"/>
      <c r="E20" s="95"/>
      <c r="F20" s="95"/>
      <c r="G20" s="95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84"/>
      <c r="U20" s="84"/>
      <c r="V20" s="84"/>
      <c r="W20" s="84"/>
      <c r="X20" s="84"/>
      <c r="Y20" s="85"/>
    </row>
    <row r="21" spans="1:25" s="8" customFormat="1" ht="16.149999999999999" customHeight="1" thickTop="1" thickBot="1" x14ac:dyDescent="0.3">
      <c r="A21" s="193"/>
      <c r="B21" s="116" t="s">
        <v>11</v>
      </c>
      <c r="C21" s="68"/>
      <c r="D21" s="96"/>
      <c r="E21" s="96"/>
      <c r="F21" s="96"/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88"/>
      <c r="U21" s="88"/>
      <c r="V21" s="88"/>
      <c r="W21" s="88"/>
      <c r="X21" s="88"/>
      <c r="Y21" s="71"/>
    </row>
    <row r="22" spans="1:25" s="8" customFormat="1" ht="16.149999999999999" customHeight="1" thickTop="1" thickBot="1" x14ac:dyDescent="0.3">
      <c r="A22" s="193"/>
      <c r="B22" s="116" t="s">
        <v>12</v>
      </c>
      <c r="C22" s="68"/>
      <c r="D22" s="96"/>
      <c r="E22" s="96"/>
      <c r="F22" s="96"/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88"/>
      <c r="U22" s="88"/>
      <c r="V22" s="88"/>
      <c r="W22" s="88"/>
      <c r="X22" s="88"/>
      <c r="Y22" s="71"/>
    </row>
    <row r="23" spans="1:25" s="8" customFormat="1" ht="16.149999999999999" customHeight="1" thickTop="1" thickBot="1" x14ac:dyDescent="0.3">
      <c r="A23" s="193"/>
      <c r="B23" s="116" t="s">
        <v>7</v>
      </c>
      <c r="C23" s="68"/>
      <c r="D23" s="96"/>
      <c r="E23" s="96"/>
      <c r="F23" s="96"/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88"/>
      <c r="U23" s="88"/>
      <c r="V23" s="88"/>
      <c r="W23" s="88"/>
      <c r="X23" s="88"/>
      <c r="Y23" s="71"/>
    </row>
    <row r="24" spans="1:25" s="8" customFormat="1" ht="16.149999999999999" customHeight="1" thickTop="1" thickBot="1" x14ac:dyDescent="0.3">
      <c r="A24" s="193"/>
      <c r="B24" s="116" t="s">
        <v>8</v>
      </c>
      <c r="C24" s="68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3"/>
      <c r="U24" s="73"/>
      <c r="V24" s="73"/>
      <c r="W24" s="73"/>
      <c r="X24" s="73"/>
      <c r="Y24" s="71"/>
    </row>
    <row r="25" spans="1:25" s="11" customFormat="1" ht="16.149999999999999" customHeight="1" thickTop="1" thickBot="1" x14ac:dyDescent="0.3">
      <c r="A25" s="193"/>
      <c r="B25" s="116" t="s">
        <v>9</v>
      </c>
      <c r="C25" s="68"/>
      <c r="D25" s="96"/>
      <c r="E25" s="96"/>
      <c r="F25" s="96"/>
      <c r="G25" s="96"/>
      <c r="H25" s="96"/>
      <c r="I25" s="96"/>
      <c r="J25" s="96"/>
      <c r="K25" s="96"/>
      <c r="L25" s="96"/>
      <c r="M25" s="96"/>
      <c r="N25" s="96"/>
      <c r="O25" s="96"/>
      <c r="P25" s="96"/>
      <c r="Q25" s="96"/>
      <c r="R25" s="96"/>
      <c r="S25" s="96"/>
      <c r="T25" s="88"/>
      <c r="U25" s="88"/>
      <c r="V25" s="88"/>
      <c r="W25" s="88"/>
      <c r="X25" s="88"/>
      <c r="Y25" s="71"/>
    </row>
    <row r="26" spans="1:25" s="11" customFormat="1" ht="16.149999999999999" customHeight="1" thickTop="1" thickBot="1" x14ac:dyDescent="0.3">
      <c r="A26" s="193"/>
      <c r="B26" s="118" t="s">
        <v>14</v>
      </c>
      <c r="C26" s="78"/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80"/>
      <c r="U26" s="80"/>
      <c r="V26" s="80"/>
      <c r="W26" s="80"/>
      <c r="X26" s="80"/>
      <c r="Y26" s="81"/>
    </row>
    <row r="27" spans="1:25" s="11" customFormat="1" ht="16.149999999999999" customHeight="1" thickTop="1" thickBot="1" x14ac:dyDescent="0.3">
      <c r="A27" s="194" t="s">
        <v>5</v>
      </c>
      <c r="B27" s="97" t="s">
        <v>10</v>
      </c>
      <c r="C27" s="97"/>
      <c r="D27" s="98"/>
      <c r="E27" s="98"/>
      <c r="F27" s="98"/>
      <c r="G27" s="98"/>
      <c r="H27" s="98"/>
      <c r="I27" s="98"/>
      <c r="J27" s="98"/>
      <c r="K27" s="98"/>
      <c r="L27" s="98"/>
      <c r="M27" s="98"/>
      <c r="N27" s="98"/>
      <c r="O27" s="98"/>
      <c r="P27" s="98"/>
      <c r="Q27" s="98"/>
      <c r="R27" s="98"/>
      <c r="S27" s="98"/>
      <c r="T27" s="67"/>
      <c r="U27" s="67"/>
      <c r="V27" s="67"/>
      <c r="W27" s="67"/>
      <c r="X27" s="67"/>
      <c r="Y27" s="85"/>
    </row>
    <row r="28" spans="1:25" s="11" customFormat="1" ht="16.149999999999999" customHeight="1" thickTop="1" thickBot="1" x14ac:dyDescent="0.3">
      <c r="A28" s="194"/>
      <c r="B28" s="119" t="s">
        <v>11</v>
      </c>
      <c r="C28" s="86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7"/>
      <c r="S28" s="87"/>
      <c r="T28" s="88"/>
      <c r="U28" s="88"/>
      <c r="V28" s="88"/>
      <c r="W28" s="88"/>
      <c r="X28" s="88"/>
      <c r="Y28" s="71"/>
    </row>
    <row r="29" spans="1:25" s="11" customFormat="1" ht="16.149999999999999" customHeight="1" thickTop="1" thickBot="1" x14ac:dyDescent="0.3">
      <c r="A29" s="194"/>
      <c r="B29" s="119" t="s">
        <v>12</v>
      </c>
      <c r="C29" s="86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8"/>
      <c r="U29" s="88"/>
      <c r="V29" s="88"/>
      <c r="W29" s="88"/>
      <c r="X29" s="88"/>
      <c r="Y29" s="71"/>
    </row>
    <row r="30" spans="1:25" s="11" customFormat="1" ht="16.149999999999999" customHeight="1" thickTop="1" thickBot="1" x14ac:dyDescent="0.3">
      <c r="A30" s="194"/>
      <c r="B30" s="119" t="s">
        <v>7</v>
      </c>
      <c r="C30" s="99"/>
      <c r="D30" s="90"/>
      <c r="E30" s="90"/>
      <c r="F30" s="90"/>
      <c r="G30" s="90"/>
      <c r="H30" s="90" t="s">
        <v>304</v>
      </c>
      <c r="I30" s="90" t="s">
        <v>304</v>
      </c>
      <c r="J30" s="90" t="s">
        <v>346</v>
      </c>
      <c r="K30" s="90" t="s">
        <v>346</v>
      </c>
      <c r="L30" s="90" t="s">
        <v>346</v>
      </c>
      <c r="M30" s="90"/>
      <c r="N30" s="90"/>
      <c r="O30" s="90"/>
      <c r="P30" s="90"/>
      <c r="Q30" s="90"/>
      <c r="R30" s="90"/>
      <c r="S30" s="90"/>
      <c r="T30" s="73"/>
      <c r="U30" s="73"/>
      <c r="V30" s="73"/>
      <c r="W30" s="73"/>
      <c r="X30" s="73"/>
      <c r="Y30" s="71"/>
    </row>
    <row r="31" spans="1:25" s="11" customFormat="1" ht="16.149999999999999" customHeight="1" thickTop="1" thickBot="1" x14ac:dyDescent="0.3">
      <c r="A31" s="194"/>
      <c r="B31" s="119" t="s">
        <v>8</v>
      </c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90"/>
      <c r="S31" s="90"/>
      <c r="T31" s="73"/>
      <c r="U31" s="73"/>
      <c r="V31" s="73"/>
      <c r="W31" s="73"/>
      <c r="X31" s="73"/>
      <c r="Y31" s="100"/>
    </row>
    <row r="32" spans="1:25" s="8" customFormat="1" ht="16.149999999999999" customHeight="1" thickTop="1" thickBot="1" x14ac:dyDescent="0.3">
      <c r="A32" s="194"/>
      <c r="B32" s="120" t="s">
        <v>9</v>
      </c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73"/>
      <c r="U32" s="73"/>
      <c r="V32" s="73"/>
      <c r="W32" s="73"/>
      <c r="X32" s="73"/>
      <c r="Y32" s="101"/>
    </row>
    <row r="33" spans="1:25" s="8" customFormat="1" ht="16.5" thickTop="1" thickBot="1" x14ac:dyDescent="0.3">
      <c r="A33" s="194"/>
      <c r="B33" s="121" t="s">
        <v>14</v>
      </c>
      <c r="C33" s="90"/>
      <c r="D33" s="87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88"/>
      <c r="U33" s="88"/>
      <c r="V33" s="88"/>
      <c r="W33" s="88"/>
      <c r="X33" s="88"/>
      <c r="Y33" s="81"/>
    </row>
    <row r="34" spans="1:25" s="8" customFormat="1" ht="16.149999999999999" customHeight="1" thickTop="1" thickBot="1" x14ac:dyDescent="0.3">
      <c r="A34" s="188" t="s">
        <v>6</v>
      </c>
      <c r="B34" s="115" t="s">
        <v>10</v>
      </c>
      <c r="C34" s="95"/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84"/>
      <c r="U34" s="84"/>
      <c r="V34" s="84"/>
      <c r="W34" s="84"/>
      <c r="X34" s="84"/>
      <c r="Y34" s="85"/>
    </row>
    <row r="35" spans="1:25" s="8" customFormat="1" ht="16.149999999999999" customHeight="1" thickTop="1" thickBot="1" x14ac:dyDescent="0.3">
      <c r="A35" s="188"/>
      <c r="B35" s="116" t="s">
        <v>11</v>
      </c>
      <c r="C35" s="96"/>
      <c r="D35" s="96"/>
      <c r="E35" s="96"/>
      <c r="F35" s="96"/>
      <c r="G35" s="96"/>
      <c r="H35" s="96"/>
      <c r="I35" s="96"/>
      <c r="J35" s="96"/>
      <c r="K35" s="96"/>
      <c r="L35" s="96"/>
      <c r="M35" s="96"/>
      <c r="N35" s="96"/>
      <c r="O35" s="96"/>
      <c r="P35" s="96"/>
      <c r="Q35" s="96"/>
      <c r="R35" s="96"/>
      <c r="S35" s="96"/>
      <c r="T35" s="88"/>
      <c r="U35" s="88"/>
      <c r="V35" s="88"/>
      <c r="W35" s="88"/>
      <c r="X35" s="88"/>
      <c r="Y35" s="71"/>
    </row>
    <row r="36" spans="1:25" s="8" customFormat="1" ht="16.149999999999999" customHeight="1" thickTop="1" thickBot="1" x14ac:dyDescent="0.3">
      <c r="A36" s="188"/>
      <c r="B36" s="116" t="s">
        <v>12</v>
      </c>
      <c r="C36" s="69"/>
      <c r="D36" s="69"/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69"/>
      <c r="S36" s="69"/>
      <c r="T36" s="70"/>
      <c r="U36" s="70"/>
      <c r="V36" s="70"/>
      <c r="W36" s="70"/>
      <c r="X36" s="70"/>
      <c r="Y36" s="71"/>
    </row>
    <row r="37" spans="1:25" ht="16.149999999999999" customHeight="1" thickTop="1" thickBot="1" x14ac:dyDescent="0.3">
      <c r="A37" s="188"/>
      <c r="B37" s="116" t="s">
        <v>7</v>
      </c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3"/>
      <c r="U37" s="73"/>
      <c r="V37" s="73"/>
      <c r="W37" s="73"/>
      <c r="X37" s="73"/>
      <c r="Y37" s="100"/>
    </row>
    <row r="38" spans="1:25" ht="16.149999999999999" customHeight="1" thickTop="1" thickBot="1" x14ac:dyDescent="0.3">
      <c r="A38" s="188"/>
      <c r="B38" s="116" t="s">
        <v>8</v>
      </c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3"/>
      <c r="U38" s="73"/>
      <c r="V38" s="73"/>
      <c r="W38" s="73"/>
      <c r="X38" s="73"/>
      <c r="Y38" s="71"/>
    </row>
    <row r="39" spans="1:25" ht="16.149999999999999" customHeight="1" thickTop="1" thickBot="1" x14ac:dyDescent="0.3">
      <c r="A39" s="188"/>
      <c r="B39" s="117" t="s">
        <v>9</v>
      </c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6"/>
      <c r="U39" s="76"/>
      <c r="V39" s="76"/>
      <c r="W39" s="76"/>
      <c r="X39" s="76"/>
      <c r="Y39" s="77"/>
    </row>
    <row r="40" spans="1:25" ht="16.149999999999999" customHeight="1" thickTop="1" thickBot="1" x14ac:dyDescent="0.3">
      <c r="A40" s="188"/>
      <c r="B40" s="118" t="s">
        <v>14</v>
      </c>
      <c r="C40" s="102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3"/>
      <c r="S40" s="103"/>
      <c r="T40" s="104"/>
      <c r="U40" s="104"/>
      <c r="V40" s="104"/>
      <c r="W40" s="104"/>
      <c r="X40" s="104"/>
      <c r="Y40" s="105"/>
    </row>
    <row r="41" spans="1:25" ht="16.149999999999999" customHeight="1" thickTop="1" thickBot="1" x14ac:dyDescent="0.3">
      <c r="A41" s="188" t="s">
        <v>24</v>
      </c>
      <c r="B41" s="106" t="s">
        <v>10</v>
      </c>
      <c r="C41" s="106"/>
      <c r="D41" s="106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84"/>
      <c r="U41" s="84"/>
      <c r="V41" s="84"/>
      <c r="W41" s="84"/>
      <c r="X41" s="84"/>
      <c r="Y41" s="84"/>
    </row>
    <row r="42" spans="1:25" ht="16.149999999999999" customHeight="1" thickTop="1" thickBot="1" x14ac:dyDescent="0.3">
      <c r="A42" s="188"/>
      <c r="B42" s="107" t="s">
        <v>11</v>
      </c>
      <c r="C42" s="107"/>
      <c r="D42" s="107"/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88"/>
      <c r="U42" s="88"/>
      <c r="V42" s="88"/>
      <c r="W42" s="88"/>
      <c r="X42" s="88"/>
      <c r="Y42" s="88"/>
    </row>
    <row r="43" spans="1:25" ht="16.149999999999999" customHeight="1" thickTop="1" thickBot="1" x14ac:dyDescent="0.3">
      <c r="A43" s="188"/>
      <c r="B43" s="108" t="s">
        <v>12</v>
      </c>
      <c r="C43" s="108"/>
      <c r="D43" s="108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69"/>
      <c r="Q43" s="69"/>
      <c r="R43" s="69"/>
      <c r="S43" s="69"/>
      <c r="T43" s="70"/>
      <c r="U43" s="70"/>
      <c r="V43" s="70"/>
      <c r="W43" s="70"/>
      <c r="X43" s="70"/>
      <c r="Y43" s="70"/>
    </row>
    <row r="44" spans="1:25" ht="16.5" thickTop="1" thickBot="1" x14ac:dyDescent="0.3">
      <c r="A44" s="188"/>
      <c r="B44" s="109" t="s">
        <v>7</v>
      </c>
      <c r="C44" s="109"/>
      <c r="D44" s="109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3"/>
      <c r="U44" s="73"/>
      <c r="V44" s="73"/>
      <c r="W44" s="73"/>
      <c r="X44" s="73"/>
      <c r="Y44" s="73"/>
    </row>
    <row r="45" spans="1:25" ht="16.5" thickTop="1" thickBot="1" x14ac:dyDescent="0.3">
      <c r="A45" s="188"/>
      <c r="B45" s="109" t="s">
        <v>8</v>
      </c>
      <c r="C45" s="109"/>
      <c r="D45" s="109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3"/>
      <c r="U45" s="73"/>
      <c r="V45" s="73"/>
      <c r="W45" s="73"/>
      <c r="X45" s="73"/>
      <c r="Y45" s="73"/>
    </row>
    <row r="46" spans="1:25" ht="16.5" thickTop="1" thickBot="1" x14ac:dyDescent="0.3">
      <c r="A46" s="188"/>
      <c r="B46" s="110" t="s">
        <v>9</v>
      </c>
      <c r="C46" s="110"/>
      <c r="D46" s="110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5"/>
      <c r="S46" s="75"/>
      <c r="T46" s="76"/>
      <c r="U46" s="76"/>
      <c r="V46" s="76"/>
      <c r="W46" s="76"/>
      <c r="X46" s="76"/>
      <c r="Y46" s="76"/>
    </row>
    <row r="47" spans="1:25" ht="16.5" thickTop="1" thickBot="1" x14ac:dyDescent="0.3">
      <c r="A47" s="188"/>
      <c r="B47" s="118" t="s">
        <v>14</v>
      </c>
      <c r="C47" s="111"/>
      <c r="D47" s="111"/>
      <c r="E47" s="103"/>
      <c r="F47" s="103"/>
      <c r="G47" s="103"/>
      <c r="H47" s="103"/>
      <c r="I47" s="103"/>
      <c r="J47" s="103"/>
      <c r="K47" s="103"/>
      <c r="L47" s="103"/>
      <c r="M47" s="103"/>
      <c r="N47" s="103"/>
      <c r="O47" s="103"/>
      <c r="P47" s="103"/>
      <c r="Q47" s="103"/>
      <c r="R47" s="103"/>
      <c r="S47" s="103"/>
      <c r="T47" s="104"/>
      <c r="U47" s="104"/>
      <c r="V47" s="104"/>
      <c r="W47" s="104"/>
      <c r="X47" s="104"/>
      <c r="Y47" s="104"/>
    </row>
    <row r="48" spans="1:25" ht="15.75" thickTop="1" x14ac:dyDescent="0.25"/>
    <row r="49" spans="1:8" x14ac:dyDescent="0.25">
      <c r="A49" t="s">
        <v>42</v>
      </c>
      <c r="B49" s="122" t="s">
        <v>43</v>
      </c>
    </row>
    <row r="50" spans="1:8" x14ac:dyDescent="0.25">
      <c r="A50" s="123" t="s">
        <v>162</v>
      </c>
      <c r="B50" s="124" t="s">
        <v>255</v>
      </c>
      <c r="E50" s="125"/>
      <c r="H50" s="141">
        <v>45936</v>
      </c>
    </row>
    <row r="51" spans="1:8" x14ac:dyDescent="0.25">
      <c r="A51" s="126"/>
      <c r="B51" s="127"/>
      <c r="E51" s="125"/>
    </row>
    <row r="52" spans="1:8" x14ac:dyDescent="0.25">
      <c r="A52" s="126"/>
      <c r="B52" s="127"/>
      <c r="E52" s="125"/>
    </row>
    <row r="53" spans="1:8" x14ac:dyDescent="0.25">
      <c r="A53" s="126"/>
      <c r="B53" s="127"/>
      <c r="E53" s="125"/>
    </row>
    <row r="54" spans="1:8" x14ac:dyDescent="0.25">
      <c r="A54" s="126"/>
      <c r="B54" s="127"/>
      <c r="E54" s="125"/>
    </row>
    <row r="55" spans="1:8" x14ac:dyDescent="0.25">
      <c r="A55" s="128"/>
      <c r="B55" s="129"/>
      <c r="E55" s="125"/>
    </row>
    <row r="56" spans="1:8" x14ac:dyDescent="0.25">
      <c r="A56" s="128"/>
      <c r="B56" s="129"/>
      <c r="E56" s="125"/>
    </row>
    <row r="57" spans="1:8" x14ac:dyDescent="0.25">
      <c r="A57" s="128"/>
      <c r="B57" s="129"/>
      <c r="E57" s="125"/>
    </row>
    <row r="58" spans="1:8" x14ac:dyDescent="0.25">
      <c r="A58" s="128"/>
      <c r="B58" s="129"/>
      <c r="E58" s="125"/>
    </row>
    <row r="59" spans="1:8" x14ac:dyDescent="0.25">
      <c r="A59" s="128"/>
      <c r="B59" s="129"/>
      <c r="E59" s="125"/>
    </row>
    <row r="60" spans="1:8" x14ac:dyDescent="0.25">
      <c r="A60" s="128"/>
      <c r="B60" s="129"/>
      <c r="E60" s="125"/>
    </row>
    <row r="61" spans="1:8" x14ac:dyDescent="0.25">
      <c r="A61" s="128"/>
      <c r="B61" s="129"/>
      <c r="E61" s="125"/>
    </row>
    <row r="62" spans="1:8" x14ac:dyDescent="0.25">
      <c r="A62" s="128"/>
      <c r="B62" s="129"/>
      <c r="E62" s="125"/>
    </row>
    <row r="63" spans="1:8" x14ac:dyDescent="0.25">
      <c r="A63" s="128"/>
      <c r="B63" s="129"/>
      <c r="E63" s="125"/>
    </row>
    <row r="64" spans="1:8" x14ac:dyDescent="0.25">
      <c r="A64" s="128"/>
      <c r="B64" s="129"/>
      <c r="E64" s="125"/>
    </row>
    <row r="65" spans="1:5" x14ac:dyDescent="0.25">
      <c r="A65" s="128"/>
      <c r="B65" s="129"/>
      <c r="E65" s="125"/>
    </row>
    <row r="66" spans="1:5" x14ac:dyDescent="0.25">
      <c r="A66" s="128"/>
      <c r="B66" s="129"/>
      <c r="E66" s="125"/>
    </row>
    <row r="67" spans="1:5" x14ac:dyDescent="0.25">
      <c r="A67" s="128"/>
      <c r="B67" s="129"/>
      <c r="E67" s="125"/>
    </row>
    <row r="68" spans="1:5" x14ac:dyDescent="0.25">
      <c r="A68" s="128"/>
      <c r="B68" s="129"/>
    </row>
    <row r="69" spans="1:5" x14ac:dyDescent="0.25">
      <c r="A69" s="128"/>
      <c r="B69" s="129"/>
    </row>
    <row r="70" spans="1:5" x14ac:dyDescent="0.25">
      <c r="A70" s="130"/>
      <c r="B70" s="131"/>
    </row>
  </sheetData>
  <mergeCells count="8">
    <mergeCell ref="A27:A33"/>
    <mergeCell ref="A34:A40"/>
    <mergeCell ref="A41:A47"/>
    <mergeCell ref="A1:I3"/>
    <mergeCell ref="A4:B4"/>
    <mergeCell ref="A6:A12"/>
    <mergeCell ref="A13:A19"/>
    <mergeCell ref="A20:A26"/>
  </mergeCells>
  <conditionalFormatting sqref="D6:Y6">
    <cfRule type="containsText" dxfId="79" priority="14" operator="containsText" text=" Анікєєв">
      <formula>NOT(ISERROR(SEARCH(" Анікєєв",D6)))</formula>
    </cfRule>
  </conditionalFormatting>
  <conditionalFormatting sqref="D7:X7">
    <cfRule type="containsText" dxfId="78" priority="13" operator="containsText" text=" Анікєєв">
      <formula>NOT(ISERROR(SEARCH(" Анікєєв",D7)))</formula>
    </cfRule>
  </conditionalFormatting>
  <conditionalFormatting sqref="D8:X8">
    <cfRule type="containsText" dxfId="77" priority="12" operator="containsText" text=" Анікєєв">
      <formula>NOT(ISERROR(SEARCH(" Анікєєв",D8)))</formula>
    </cfRule>
  </conditionalFormatting>
  <conditionalFormatting sqref="D9:X9">
    <cfRule type="containsText" dxfId="76" priority="11" operator="containsText" text=" Анікєєв">
      <formula>NOT(ISERROR(SEARCH(" Анікєєв",D9)))</formula>
    </cfRule>
  </conditionalFormatting>
  <conditionalFormatting sqref="D10:X11">
    <cfRule type="containsText" dxfId="75" priority="10" operator="containsText" text=" Анікєєв">
      <formula>NOT(ISERROR(SEARCH(" Анікєєв",D10)))</formula>
    </cfRule>
  </conditionalFormatting>
  <conditionalFormatting sqref="D12:X12">
    <cfRule type="containsText" dxfId="74" priority="9" operator="containsText" text=" Анікєєв">
      <formula>NOT(ISERROR(SEARCH(" Анікєєв",D12)))</formula>
    </cfRule>
  </conditionalFormatting>
  <conditionalFormatting sqref="D13:X19">
    <cfRule type="containsText" dxfId="73" priority="8" operator="containsText" text=" Анікєєв">
      <formula>NOT(ISERROR(SEARCH(" Анікєєв",D13)))</formula>
    </cfRule>
  </conditionalFormatting>
  <conditionalFormatting sqref="D20:X25">
    <cfRule type="containsText" dxfId="72" priority="7" operator="containsText" text=" Анікєєв">
      <formula>NOT(ISERROR(SEARCH(" Анікєєв",D20)))</formula>
    </cfRule>
  </conditionalFormatting>
  <conditionalFormatting sqref="D27:X29 D31:X32 D30:I30 M30:X30">
    <cfRule type="containsText" dxfId="71" priority="6" operator="containsText" text=" Анікєєв">
      <formula>NOT(ISERROR(SEARCH(" Анікєєв",D27)))</formula>
    </cfRule>
  </conditionalFormatting>
  <conditionalFormatting sqref="D34:X34">
    <cfRule type="containsText" dxfId="70" priority="5" operator="containsText" text=" Анікєєв">
      <formula>NOT(ISERROR(SEARCH(" Анікєєв",D34)))</formula>
    </cfRule>
  </conditionalFormatting>
  <conditionalFormatting sqref="D33:X33">
    <cfRule type="containsText" dxfId="69" priority="4" operator="containsText" text=" Анікєєв">
      <formula>NOT(ISERROR(SEARCH(" Анікєєв",D33)))</formula>
    </cfRule>
  </conditionalFormatting>
  <conditionalFormatting sqref="C34:C40">
    <cfRule type="containsText" dxfId="68" priority="3" operator="containsText" text=" Анікєєв">
      <formula>NOT(ISERROR(SEARCH(" Анікєєв",C34)))</formula>
    </cfRule>
  </conditionalFormatting>
  <conditionalFormatting sqref="B41:Y41">
    <cfRule type="containsText" dxfId="67" priority="2" operator="containsText" text=" Анікєєв">
      <formula>NOT(ISERROR(SEARCH(" Анікєєв",B41)))</formula>
    </cfRule>
  </conditionalFormatting>
  <conditionalFormatting sqref="J30:L30">
    <cfRule type="containsText" dxfId="66" priority="1" operator="containsText" text=" Анікєєв">
      <formula>NOT(ISERROR(SEARCH(" Анікєєв",J30)))</formula>
    </cfRule>
  </conditionalFormatting>
  <pageMargins left="0.39370078740157483" right="0.39370078740157483" top="0.74803149606299213" bottom="0.74803149606299213" header="0.31496062992125984" footer="0.31496062992125984"/>
  <pageSetup paperSize="9" scale="42" orientation="landscape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/>
  <dimension ref="A1:Y70"/>
  <sheetViews>
    <sheetView zoomScale="70" zoomScaleNormal="70" workbookViewId="0">
      <selection activeCell="A13" sqref="A1:XFD1048576"/>
    </sheetView>
  </sheetViews>
  <sheetFormatPr defaultRowHeight="15" x14ac:dyDescent="0.25"/>
  <cols>
    <col min="1" max="1" width="23.85546875" customWidth="1"/>
    <col min="2" max="2" width="11.5703125" bestFit="1" customWidth="1"/>
    <col min="3" max="10" width="25" customWidth="1"/>
    <col min="11" max="13" width="25.5703125" bestFit="1" customWidth="1"/>
    <col min="14" max="14" width="25" hidden="1" customWidth="1"/>
    <col min="15" max="15" width="28.85546875" hidden="1" customWidth="1"/>
    <col min="16" max="17" width="25" hidden="1" customWidth="1"/>
    <col min="18" max="18" width="24.28515625" bestFit="1" customWidth="1"/>
    <col min="19" max="21" width="25" bestFit="1" customWidth="1"/>
    <col min="22" max="22" width="25" customWidth="1"/>
    <col min="23" max="23" width="25" bestFit="1" customWidth="1"/>
    <col min="24" max="24" width="25" customWidth="1"/>
    <col min="25" max="25" width="25" bestFit="1" customWidth="1"/>
  </cols>
  <sheetData>
    <row r="1" spans="1:25" ht="15" customHeight="1" x14ac:dyDescent="0.25">
      <c r="A1" s="189" t="s">
        <v>18</v>
      </c>
      <c r="B1" s="189"/>
      <c r="C1" s="189"/>
      <c r="D1" s="189"/>
      <c r="E1" s="189"/>
      <c r="F1" s="189"/>
      <c r="G1" s="189"/>
      <c r="H1" s="189"/>
      <c r="I1" s="189"/>
      <c r="J1" s="9"/>
      <c r="K1" s="9"/>
      <c r="L1" s="9"/>
      <c r="M1" s="9"/>
      <c r="N1" s="9"/>
      <c r="O1" s="9"/>
      <c r="P1" s="9"/>
      <c r="Q1" s="9"/>
      <c r="R1" s="9"/>
    </row>
    <row r="2" spans="1:25" x14ac:dyDescent="0.25">
      <c r="A2" s="189"/>
      <c r="B2" s="189"/>
      <c r="C2" s="189"/>
      <c r="D2" s="189"/>
      <c r="E2" s="189"/>
      <c r="F2" s="189"/>
      <c r="G2" s="189"/>
      <c r="H2" s="189"/>
      <c r="I2" s="189"/>
      <c r="J2" s="9"/>
      <c r="K2" s="9"/>
      <c r="L2" s="9"/>
      <c r="M2" s="9"/>
      <c r="N2" s="9"/>
      <c r="O2" s="9"/>
      <c r="P2" s="9"/>
      <c r="Q2" s="9"/>
      <c r="R2" s="9"/>
    </row>
    <row r="3" spans="1:25" ht="15.75" thickBot="1" x14ac:dyDescent="0.3">
      <c r="A3" s="190"/>
      <c r="B3" s="190"/>
      <c r="C3" s="190"/>
      <c r="D3" s="190"/>
      <c r="E3" s="190"/>
      <c r="F3" s="190"/>
      <c r="G3" s="190"/>
      <c r="H3" s="190"/>
      <c r="I3" s="190"/>
      <c r="J3" s="9"/>
      <c r="K3" s="9"/>
      <c r="L3" s="9"/>
      <c r="M3" s="9"/>
      <c r="N3" s="9"/>
      <c r="O3" s="9"/>
      <c r="P3" s="9"/>
      <c r="Q3" s="9"/>
      <c r="R3" s="9"/>
    </row>
    <row r="4" spans="1:25" s="113" customFormat="1" ht="22.5" thickTop="1" thickBot="1" x14ac:dyDescent="0.35">
      <c r="A4" s="191" t="s">
        <v>13</v>
      </c>
      <c r="B4" s="192"/>
      <c r="C4" s="1">
        <v>1</v>
      </c>
      <c r="D4" s="1">
        <v>2</v>
      </c>
      <c r="E4" s="1">
        <v>3</v>
      </c>
      <c r="F4" s="1">
        <v>4</v>
      </c>
      <c r="G4" s="1">
        <v>5</v>
      </c>
      <c r="H4" s="1">
        <v>6</v>
      </c>
      <c r="I4" s="1">
        <v>7</v>
      </c>
      <c r="J4" s="1">
        <v>8</v>
      </c>
      <c r="K4" s="1">
        <v>9</v>
      </c>
      <c r="L4" s="1">
        <v>10</v>
      </c>
      <c r="M4" s="1">
        <v>11</v>
      </c>
      <c r="N4" s="1">
        <v>12</v>
      </c>
      <c r="O4" s="1">
        <v>13</v>
      </c>
      <c r="P4" s="1">
        <v>14</v>
      </c>
      <c r="Q4" s="1">
        <v>15</v>
      </c>
      <c r="R4" s="1">
        <v>16</v>
      </c>
      <c r="S4" s="1">
        <v>17</v>
      </c>
      <c r="T4" s="112">
        <v>18</v>
      </c>
      <c r="U4" s="112">
        <v>19</v>
      </c>
      <c r="V4" s="112">
        <v>20</v>
      </c>
      <c r="W4" s="112">
        <v>21</v>
      </c>
      <c r="X4" s="112">
        <v>22</v>
      </c>
      <c r="Y4" s="112">
        <v>23</v>
      </c>
    </row>
    <row r="5" spans="1:25" ht="21.75" thickTop="1" thickBot="1" x14ac:dyDescent="0.35">
      <c r="A5" s="2" t="s">
        <v>0</v>
      </c>
      <c r="B5" s="3" t="s">
        <v>1</v>
      </c>
      <c r="C5" s="4" t="s">
        <v>25</v>
      </c>
      <c r="D5" s="4" t="s">
        <v>26</v>
      </c>
      <c r="E5" s="4" t="s">
        <v>27</v>
      </c>
      <c r="F5" s="4" t="s">
        <v>28</v>
      </c>
      <c r="G5" s="4" t="s">
        <v>29</v>
      </c>
      <c r="H5" s="4" t="s">
        <v>30</v>
      </c>
      <c r="I5" s="4" t="s">
        <v>31</v>
      </c>
      <c r="J5" s="4" t="s">
        <v>32</v>
      </c>
      <c r="K5" s="4" t="s">
        <v>33</v>
      </c>
      <c r="L5" s="4" t="s">
        <v>34</v>
      </c>
      <c r="M5" s="4" t="s">
        <v>35</v>
      </c>
      <c r="N5" s="4" t="s">
        <v>36</v>
      </c>
      <c r="O5" s="4" t="s">
        <v>37</v>
      </c>
      <c r="P5" s="4" t="s">
        <v>38</v>
      </c>
      <c r="Q5" s="4" t="s">
        <v>39</v>
      </c>
      <c r="R5" s="4" t="s">
        <v>40</v>
      </c>
      <c r="S5" s="4" t="s">
        <v>41</v>
      </c>
      <c r="T5" s="114"/>
      <c r="U5" s="114"/>
      <c r="V5" s="114"/>
      <c r="W5" s="114"/>
      <c r="X5" s="114"/>
      <c r="Y5" s="114"/>
    </row>
    <row r="6" spans="1:25" s="8" customFormat="1" ht="16.149999999999999" customHeight="1" thickTop="1" thickBot="1" x14ac:dyDescent="0.3">
      <c r="A6" s="193" t="s">
        <v>2</v>
      </c>
      <c r="B6" s="115" t="s">
        <v>10</v>
      </c>
      <c r="C6" s="65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7"/>
      <c r="U6" s="67"/>
      <c r="V6" s="67"/>
      <c r="W6" s="67"/>
      <c r="X6" s="67"/>
      <c r="Y6" s="67"/>
    </row>
    <row r="7" spans="1:25" s="8" customFormat="1" ht="16.149999999999999" customHeight="1" thickTop="1" thickBot="1" x14ac:dyDescent="0.3">
      <c r="A7" s="193"/>
      <c r="B7" s="116" t="s">
        <v>11</v>
      </c>
      <c r="C7" s="68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69"/>
      <c r="S7" s="69"/>
      <c r="T7" s="70"/>
      <c r="U7" s="70"/>
      <c r="V7" s="70"/>
      <c r="W7" s="70"/>
      <c r="X7" s="70"/>
      <c r="Y7" s="71"/>
    </row>
    <row r="8" spans="1:25" s="8" customFormat="1" ht="16.149999999999999" customHeight="1" thickTop="1" thickBot="1" x14ac:dyDescent="0.3">
      <c r="A8" s="193"/>
      <c r="B8" s="116" t="s">
        <v>12</v>
      </c>
      <c r="C8" s="68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3"/>
      <c r="U8" s="73"/>
      <c r="V8" s="73"/>
      <c r="W8" s="73"/>
      <c r="X8" s="73"/>
      <c r="Y8" s="71"/>
    </row>
    <row r="9" spans="1:25" s="8" customFormat="1" ht="16.149999999999999" customHeight="1" thickTop="1" thickBot="1" x14ac:dyDescent="0.3">
      <c r="A9" s="193"/>
      <c r="B9" s="116" t="s">
        <v>7</v>
      </c>
      <c r="C9" s="68"/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3"/>
      <c r="U9" s="73"/>
      <c r="V9" s="73"/>
      <c r="W9" s="73"/>
      <c r="X9" s="73"/>
      <c r="Y9" s="71"/>
    </row>
    <row r="10" spans="1:25" s="8" customFormat="1" ht="16.149999999999999" customHeight="1" thickTop="1" thickBot="1" x14ac:dyDescent="0.3">
      <c r="A10" s="193"/>
      <c r="B10" s="116" t="s">
        <v>8</v>
      </c>
      <c r="C10" s="68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3"/>
      <c r="U10" s="73"/>
      <c r="V10" s="73"/>
      <c r="W10" s="73"/>
      <c r="X10" s="73"/>
      <c r="Y10" s="71"/>
    </row>
    <row r="11" spans="1:25" s="8" customFormat="1" ht="16.149999999999999" customHeight="1" thickTop="1" thickBot="1" x14ac:dyDescent="0.3">
      <c r="A11" s="193"/>
      <c r="B11" s="117" t="s">
        <v>9</v>
      </c>
      <c r="C11" s="74"/>
      <c r="D11" s="75"/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6"/>
      <c r="U11" s="76"/>
      <c r="V11" s="76"/>
      <c r="W11" s="76"/>
      <c r="X11" s="76"/>
      <c r="Y11" s="77"/>
    </row>
    <row r="12" spans="1:25" s="11" customFormat="1" ht="16.149999999999999" customHeight="1" thickTop="1" thickBot="1" x14ac:dyDescent="0.3">
      <c r="A12" s="193"/>
      <c r="B12" s="118" t="s">
        <v>14</v>
      </c>
      <c r="C12" s="78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80"/>
      <c r="U12" s="80"/>
      <c r="V12" s="80"/>
      <c r="W12" s="80"/>
      <c r="X12" s="80"/>
      <c r="Y12" s="81"/>
    </row>
    <row r="13" spans="1:25" s="11" customFormat="1" ht="16.149999999999999" customHeight="1" thickTop="1" thickBot="1" x14ac:dyDescent="0.3">
      <c r="A13" s="194" t="s">
        <v>3</v>
      </c>
      <c r="B13" s="97" t="s">
        <v>10</v>
      </c>
      <c r="C13" s="82"/>
      <c r="D13" s="83"/>
      <c r="E13" s="83"/>
      <c r="F13" s="83"/>
      <c r="G13" s="83"/>
      <c r="H13" s="83"/>
      <c r="I13" s="83"/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4"/>
      <c r="U13" s="84"/>
      <c r="V13" s="84"/>
      <c r="W13" s="84"/>
      <c r="X13" s="84"/>
      <c r="Y13" s="85"/>
    </row>
    <row r="14" spans="1:25" s="11" customFormat="1" ht="16.5" thickTop="1" thickBot="1" x14ac:dyDescent="0.3">
      <c r="A14" s="194"/>
      <c r="B14" s="119" t="s">
        <v>11</v>
      </c>
      <c r="C14" s="86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8"/>
      <c r="U14" s="88"/>
      <c r="V14" s="88"/>
      <c r="W14" s="88"/>
      <c r="X14" s="88"/>
      <c r="Y14" s="71"/>
    </row>
    <row r="15" spans="1:25" s="11" customFormat="1" ht="16.5" thickTop="1" thickBot="1" x14ac:dyDescent="0.3">
      <c r="A15" s="194"/>
      <c r="B15" s="119" t="s">
        <v>12</v>
      </c>
      <c r="C15" s="89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73"/>
      <c r="U15" s="73"/>
      <c r="V15" s="73"/>
      <c r="W15" s="73"/>
      <c r="X15" s="73"/>
      <c r="Y15" s="71"/>
    </row>
    <row r="16" spans="1:25" s="11" customFormat="1" ht="16.149999999999999" customHeight="1" thickTop="1" thickBot="1" x14ac:dyDescent="0.3">
      <c r="A16" s="194"/>
      <c r="B16" s="119" t="s">
        <v>7</v>
      </c>
      <c r="C16" s="86"/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8"/>
      <c r="U16" s="88"/>
      <c r="V16" s="88"/>
      <c r="W16" s="88"/>
      <c r="X16" s="88"/>
      <c r="Y16" s="71"/>
    </row>
    <row r="17" spans="1:25" s="11" customFormat="1" ht="16.149999999999999" customHeight="1" thickTop="1" thickBot="1" x14ac:dyDescent="0.3">
      <c r="A17" s="194"/>
      <c r="B17" s="119" t="s">
        <v>8</v>
      </c>
      <c r="C17" s="86"/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8"/>
      <c r="U17" s="88"/>
      <c r="V17" s="88"/>
      <c r="W17" s="88"/>
      <c r="X17" s="88"/>
      <c r="Y17" s="71"/>
    </row>
    <row r="18" spans="1:25" s="8" customFormat="1" ht="16.149999999999999" customHeight="1" thickTop="1" thickBot="1" x14ac:dyDescent="0.3">
      <c r="A18" s="194"/>
      <c r="B18" s="120" t="s">
        <v>9</v>
      </c>
      <c r="C18" s="86"/>
      <c r="D18" s="91"/>
      <c r="E18" s="91"/>
      <c r="F18" s="91"/>
      <c r="G18" s="91"/>
      <c r="H18" s="91"/>
      <c r="I18" s="91"/>
      <c r="J18" s="91"/>
      <c r="K18" s="91"/>
      <c r="L18" s="91"/>
      <c r="M18" s="91"/>
      <c r="N18" s="91"/>
      <c r="O18" s="91"/>
      <c r="P18" s="91"/>
      <c r="Q18" s="91"/>
      <c r="R18" s="91"/>
      <c r="S18" s="91"/>
      <c r="T18" s="92"/>
      <c r="U18" s="92"/>
      <c r="V18" s="92"/>
      <c r="W18" s="92"/>
      <c r="X18" s="92"/>
      <c r="Y18" s="77"/>
    </row>
    <row r="19" spans="1:25" s="8" customFormat="1" ht="16.149999999999999" customHeight="1" thickTop="1" thickBot="1" x14ac:dyDescent="0.3">
      <c r="A19" s="194"/>
      <c r="B19" s="121" t="s">
        <v>14</v>
      </c>
      <c r="C19" s="93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80"/>
      <c r="U19" s="80"/>
      <c r="V19" s="80"/>
      <c r="W19" s="80"/>
      <c r="X19" s="80"/>
      <c r="Y19" s="81"/>
    </row>
    <row r="20" spans="1:25" s="8" customFormat="1" ht="16.149999999999999" customHeight="1" thickTop="1" thickBot="1" x14ac:dyDescent="0.3">
      <c r="A20" s="193" t="s">
        <v>4</v>
      </c>
      <c r="B20" s="115" t="s">
        <v>10</v>
      </c>
      <c r="C20" s="65"/>
      <c r="D20" s="95"/>
      <c r="E20" s="95"/>
      <c r="F20" s="95"/>
      <c r="G20" s="95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84"/>
      <c r="U20" s="84"/>
      <c r="V20" s="84"/>
      <c r="W20" s="84"/>
      <c r="X20" s="84"/>
      <c r="Y20" s="85"/>
    </row>
    <row r="21" spans="1:25" s="8" customFormat="1" ht="16.149999999999999" customHeight="1" thickTop="1" thickBot="1" x14ac:dyDescent="0.3">
      <c r="A21" s="193"/>
      <c r="B21" s="116" t="s">
        <v>11</v>
      </c>
      <c r="C21" s="68"/>
      <c r="D21" s="96"/>
      <c r="E21" s="96"/>
      <c r="F21" s="96"/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88"/>
      <c r="U21" s="88"/>
      <c r="V21" s="88"/>
      <c r="W21" s="88"/>
      <c r="X21" s="88"/>
      <c r="Y21" s="71"/>
    </row>
    <row r="22" spans="1:25" s="8" customFormat="1" ht="16.149999999999999" customHeight="1" thickTop="1" thickBot="1" x14ac:dyDescent="0.3">
      <c r="A22" s="193"/>
      <c r="B22" s="116" t="s">
        <v>12</v>
      </c>
      <c r="C22" s="68"/>
      <c r="D22" s="96"/>
      <c r="E22" s="96"/>
      <c r="F22" s="96"/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88"/>
      <c r="U22" s="88"/>
      <c r="V22" s="88"/>
      <c r="W22" s="88"/>
      <c r="X22" s="88"/>
      <c r="Y22" s="71"/>
    </row>
    <row r="23" spans="1:25" s="8" customFormat="1" ht="16.149999999999999" customHeight="1" thickTop="1" thickBot="1" x14ac:dyDescent="0.3">
      <c r="A23" s="193"/>
      <c r="B23" s="116" t="s">
        <v>7</v>
      </c>
      <c r="C23" s="68"/>
      <c r="D23" s="96"/>
      <c r="E23" s="96"/>
      <c r="F23" s="96"/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88"/>
      <c r="U23" s="88"/>
      <c r="V23" s="88"/>
      <c r="W23" s="88"/>
      <c r="X23" s="88"/>
      <c r="Y23" s="71"/>
    </row>
    <row r="24" spans="1:25" s="8" customFormat="1" ht="16.149999999999999" customHeight="1" thickTop="1" thickBot="1" x14ac:dyDescent="0.3">
      <c r="A24" s="193"/>
      <c r="B24" s="116" t="s">
        <v>8</v>
      </c>
      <c r="C24" s="68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3"/>
      <c r="U24" s="73"/>
      <c r="V24" s="73"/>
      <c r="W24" s="73"/>
      <c r="X24" s="73"/>
      <c r="Y24" s="71"/>
    </row>
    <row r="25" spans="1:25" s="11" customFormat="1" ht="16.149999999999999" customHeight="1" thickTop="1" thickBot="1" x14ac:dyDescent="0.3">
      <c r="A25" s="193"/>
      <c r="B25" s="116" t="s">
        <v>9</v>
      </c>
      <c r="C25" s="68"/>
      <c r="D25" s="96"/>
      <c r="E25" s="96"/>
      <c r="F25" s="96"/>
      <c r="G25" s="96"/>
      <c r="H25" s="96"/>
      <c r="I25" s="96"/>
      <c r="J25" s="96"/>
      <c r="K25" s="96"/>
      <c r="L25" s="96"/>
      <c r="M25" s="96"/>
      <c r="N25" s="96"/>
      <c r="O25" s="96"/>
      <c r="P25" s="96"/>
      <c r="Q25" s="96"/>
      <c r="R25" s="96"/>
      <c r="S25" s="96"/>
      <c r="T25" s="88"/>
      <c r="U25" s="88"/>
      <c r="V25" s="88"/>
      <c r="W25" s="88"/>
      <c r="X25" s="88"/>
      <c r="Y25" s="71"/>
    </row>
    <row r="26" spans="1:25" s="11" customFormat="1" ht="16.149999999999999" customHeight="1" thickTop="1" thickBot="1" x14ac:dyDescent="0.3">
      <c r="A26" s="193"/>
      <c r="B26" s="118" t="s">
        <v>14</v>
      </c>
      <c r="C26" s="78"/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80"/>
      <c r="U26" s="80"/>
      <c r="V26" s="80"/>
      <c r="W26" s="80"/>
      <c r="X26" s="80"/>
      <c r="Y26" s="81"/>
    </row>
    <row r="27" spans="1:25" s="11" customFormat="1" ht="16.149999999999999" customHeight="1" thickTop="1" thickBot="1" x14ac:dyDescent="0.3">
      <c r="A27" s="194" t="s">
        <v>5</v>
      </c>
      <c r="B27" s="97" t="s">
        <v>10</v>
      </c>
      <c r="C27" s="97"/>
      <c r="D27" s="98"/>
      <c r="E27" s="98"/>
      <c r="F27" s="98"/>
      <c r="G27" s="98"/>
      <c r="H27" s="98"/>
      <c r="I27" s="98"/>
      <c r="J27" s="98"/>
      <c r="K27" s="98"/>
      <c r="L27" s="98"/>
      <c r="M27" s="98"/>
      <c r="N27" s="98"/>
      <c r="O27" s="98"/>
      <c r="P27" s="98"/>
      <c r="Q27" s="98"/>
      <c r="R27" s="98"/>
      <c r="S27" s="98"/>
      <c r="T27" s="67"/>
      <c r="U27" s="67"/>
      <c r="V27" s="67"/>
      <c r="W27" s="67"/>
      <c r="X27" s="67"/>
      <c r="Y27" s="85"/>
    </row>
    <row r="28" spans="1:25" s="11" customFormat="1" ht="16.149999999999999" customHeight="1" thickTop="1" thickBot="1" x14ac:dyDescent="0.3">
      <c r="A28" s="194"/>
      <c r="B28" s="119" t="s">
        <v>11</v>
      </c>
      <c r="C28" s="86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7"/>
      <c r="S28" s="87"/>
      <c r="T28" s="88"/>
      <c r="U28" s="88"/>
      <c r="V28" s="88"/>
      <c r="W28" s="88"/>
      <c r="X28" s="88"/>
      <c r="Y28" s="71"/>
    </row>
    <row r="29" spans="1:25" s="11" customFormat="1" ht="16.149999999999999" customHeight="1" thickTop="1" thickBot="1" x14ac:dyDescent="0.3">
      <c r="A29" s="194"/>
      <c r="B29" s="119" t="s">
        <v>12</v>
      </c>
      <c r="C29" s="86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8"/>
      <c r="U29" s="88"/>
      <c r="V29" s="88"/>
      <c r="W29" s="88"/>
      <c r="X29" s="88"/>
      <c r="Y29" s="71"/>
    </row>
    <row r="30" spans="1:25" s="11" customFormat="1" ht="16.149999999999999" customHeight="1" thickTop="1" thickBot="1" x14ac:dyDescent="0.3">
      <c r="A30" s="194"/>
      <c r="B30" s="119" t="s">
        <v>7</v>
      </c>
      <c r="C30" s="99"/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90"/>
      <c r="S30" s="90"/>
      <c r="T30" s="73"/>
      <c r="U30" s="73"/>
      <c r="V30" s="73"/>
      <c r="W30" s="73"/>
      <c r="X30" s="73"/>
      <c r="Y30" s="71"/>
    </row>
    <row r="31" spans="1:25" s="11" customFormat="1" ht="16.149999999999999" customHeight="1" thickTop="1" thickBot="1" x14ac:dyDescent="0.3">
      <c r="A31" s="194"/>
      <c r="B31" s="119" t="s">
        <v>8</v>
      </c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90"/>
      <c r="S31" s="90"/>
      <c r="T31" s="73"/>
      <c r="U31" s="73"/>
      <c r="V31" s="73"/>
      <c r="W31" s="73"/>
      <c r="X31" s="73"/>
      <c r="Y31" s="100"/>
    </row>
    <row r="32" spans="1:25" s="8" customFormat="1" ht="16.149999999999999" customHeight="1" thickTop="1" thickBot="1" x14ac:dyDescent="0.3">
      <c r="A32" s="194"/>
      <c r="B32" s="120" t="s">
        <v>9</v>
      </c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73"/>
      <c r="U32" s="73"/>
      <c r="V32" s="73"/>
      <c r="W32" s="73"/>
      <c r="X32" s="73"/>
      <c r="Y32" s="101"/>
    </row>
    <row r="33" spans="1:25" s="8" customFormat="1" ht="16.5" thickTop="1" thickBot="1" x14ac:dyDescent="0.3">
      <c r="A33" s="194"/>
      <c r="B33" s="121" t="s">
        <v>14</v>
      </c>
      <c r="C33" s="90"/>
      <c r="D33" s="87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88"/>
      <c r="U33" s="88"/>
      <c r="V33" s="88"/>
      <c r="W33" s="88"/>
      <c r="X33" s="88"/>
      <c r="Y33" s="81"/>
    </row>
    <row r="34" spans="1:25" s="8" customFormat="1" ht="16.149999999999999" customHeight="1" thickTop="1" thickBot="1" x14ac:dyDescent="0.3">
      <c r="A34" s="188" t="s">
        <v>6</v>
      </c>
      <c r="B34" s="115" t="s">
        <v>10</v>
      </c>
      <c r="C34" s="95"/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84"/>
      <c r="U34" s="84"/>
      <c r="V34" s="84"/>
      <c r="W34" s="84"/>
      <c r="X34" s="84"/>
      <c r="Y34" s="85"/>
    </row>
    <row r="35" spans="1:25" s="8" customFormat="1" ht="16.149999999999999" customHeight="1" thickTop="1" thickBot="1" x14ac:dyDescent="0.3">
      <c r="A35" s="188"/>
      <c r="B35" s="116" t="s">
        <v>11</v>
      </c>
      <c r="C35" s="96"/>
      <c r="D35" s="96"/>
      <c r="E35" s="96"/>
      <c r="F35" s="96"/>
      <c r="G35" s="96"/>
      <c r="H35" s="96"/>
      <c r="I35" s="96"/>
      <c r="J35" s="96"/>
      <c r="K35" s="96"/>
      <c r="L35" s="96"/>
      <c r="M35" s="96"/>
      <c r="N35" s="96"/>
      <c r="O35" s="96"/>
      <c r="P35" s="96"/>
      <c r="Q35" s="96"/>
      <c r="R35" s="96"/>
      <c r="S35" s="96"/>
      <c r="T35" s="88"/>
      <c r="U35" s="88"/>
      <c r="V35" s="88"/>
      <c r="W35" s="88"/>
      <c r="X35" s="88"/>
      <c r="Y35" s="71"/>
    </row>
    <row r="36" spans="1:25" s="8" customFormat="1" ht="16.149999999999999" customHeight="1" thickTop="1" thickBot="1" x14ac:dyDescent="0.3">
      <c r="A36" s="188"/>
      <c r="B36" s="116" t="s">
        <v>12</v>
      </c>
      <c r="C36" s="69"/>
      <c r="D36" s="69"/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69"/>
      <c r="S36" s="69"/>
      <c r="T36" s="70"/>
      <c r="U36" s="70"/>
      <c r="V36" s="70"/>
      <c r="W36" s="70"/>
      <c r="X36" s="70"/>
      <c r="Y36" s="71"/>
    </row>
    <row r="37" spans="1:25" ht="16.149999999999999" customHeight="1" thickTop="1" thickBot="1" x14ac:dyDescent="0.3">
      <c r="A37" s="188"/>
      <c r="B37" s="116" t="s">
        <v>7</v>
      </c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3"/>
      <c r="U37" s="73"/>
      <c r="V37" s="73"/>
      <c r="W37" s="73"/>
      <c r="X37" s="73"/>
      <c r="Y37" s="100"/>
    </row>
    <row r="38" spans="1:25" ht="16.149999999999999" customHeight="1" thickTop="1" thickBot="1" x14ac:dyDescent="0.3">
      <c r="A38" s="188"/>
      <c r="B38" s="116" t="s">
        <v>8</v>
      </c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3"/>
      <c r="U38" s="73"/>
      <c r="V38" s="73"/>
      <c r="W38" s="73"/>
      <c r="X38" s="73"/>
      <c r="Y38" s="71"/>
    </row>
    <row r="39" spans="1:25" ht="16.149999999999999" customHeight="1" thickTop="1" thickBot="1" x14ac:dyDescent="0.3">
      <c r="A39" s="188"/>
      <c r="B39" s="117" t="s">
        <v>9</v>
      </c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6"/>
      <c r="U39" s="76"/>
      <c r="V39" s="76"/>
      <c r="W39" s="76"/>
      <c r="X39" s="76"/>
      <c r="Y39" s="77"/>
    </row>
    <row r="40" spans="1:25" ht="16.149999999999999" customHeight="1" thickTop="1" thickBot="1" x14ac:dyDescent="0.3">
      <c r="A40" s="188"/>
      <c r="B40" s="118" t="s">
        <v>14</v>
      </c>
      <c r="C40" s="102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3"/>
      <c r="S40" s="103"/>
      <c r="T40" s="104"/>
      <c r="U40" s="104"/>
      <c r="V40" s="104"/>
      <c r="W40" s="104"/>
      <c r="X40" s="104"/>
      <c r="Y40" s="105"/>
    </row>
    <row r="41" spans="1:25" ht="16.149999999999999" customHeight="1" thickTop="1" thickBot="1" x14ac:dyDescent="0.3">
      <c r="A41" s="188" t="s">
        <v>24</v>
      </c>
      <c r="B41" s="106" t="s">
        <v>10</v>
      </c>
      <c r="C41" s="106"/>
      <c r="D41" s="106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84"/>
      <c r="U41" s="84"/>
      <c r="V41" s="84"/>
      <c r="W41" s="84"/>
      <c r="X41" s="84"/>
      <c r="Y41" s="84"/>
    </row>
    <row r="42" spans="1:25" ht="16.149999999999999" customHeight="1" thickTop="1" thickBot="1" x14ac:dyDescent="0.3">
      <c r="A42" s="188"/>
      <c r="B42" s="107" t="s">
        <v>11</v>
      </c>
      <c r="C42" s="107"/>
      <c r="D42" s="107"/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88"/>
      <c r="U42" s="88"/>
      <c r="V42" s="88"/>
      <c r="W42" s="88"/>
      <c r="X42" s="88"/>
      <c r="Y42" s="88"/>
    </row>
    <row r="43" spans="1:25" ht="16.149999999999999" customHeight="1" thickTop="1" thickBot="1" x14ac:dyDescent="0.3">
      <c r="A43" s="188"/>
      <c r="B43" s="108" t="s">
        <v>12</v>
      </c>
      <c r="C43" s="108"/>
      <c r="D43" s="108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69"/>
      <c r="Q43" s="69"/>
      <c r="R43" s="69"/>
      <c r="S43" s="69"/>
      <c r="T43" s="70"/>
      <c r="U43" s="70"/>
      <c r="V43" s="70"/>
      <c r="W43" s="70"/>
      <c r="X43" s="70"/>
      <c r="Y43" s="70"/>
    </row>
    <row r="44" spans="1:25" ht="16.5" thickTop="1" thickBot="1" x14ac:dyDescent="0.3">
      <c r="A44" s="188"/>
      <c r="B44" s="109" t="s">
        <v>7</v>
      </c>
      <c r="C44" s="109"/>
      <c r="D44" s="109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3"/>
      <c r="U44" s="73"/>
      <c r="V44" s="73"/>
      <c r="W44" s="73"/>
      <c r="X44" s="73"/>
      <c r="Y44" s="73"/>
    </row>
    <row r="45" spans="1:25" ht="16.5" thickTop="1" thickBot="1" x14ac:dyDescent="0.3">
      <c r="A45" s="188"/>
      <c r="B45" s="109" t="s">
        <v>8</v>
      </c>
      <c r="C45" s="109"/>
      <c r="D45" s="109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3"/>
      <c r="U45" s="73"/>
      <c r="V45" s="73"/>
      <c r="W45" s="73"/>
      <c r="X45" s="73"/>
      <c r="Y45" s="73"/>
    </row>
    <row r="46" spans="1:25" ht="16.5" thickTop="1" thickBot="1" x14ac:dyDescent="0.3">
      <c r="A46" s="188"/>
      <c r="B46" s="110" t="s">
        <v>9</v>
      </c>
      <c r="C46" s="110"/>
      <c r="D46" s="110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5"/>
      <c r="S46" s="75"/>
      <c r="T46" s="76"/>
      <c r="U46" s="76"/>
      <c r="V46" s="76"/>
      <c r="W46" s="76"/>
      <c r="X46" s="76"/>
      <c r="Y46" s="76"/>
    </row>
    <row r="47" spans="1:25" ht="16.5" thickTop="1" thickBot="1" x14ac:dyDescent="0.3">
      <c r="A47" s="188"/>
      <c r="B47" s="118" t="s">
        <v>14</v>
      </c>
      <c r="C47" s="111"/>
      <c r="D47" s="111"/>
      <c r="E47" s="103"/>
      <c r="F47" s="103"/>
      <c r="G47" s="103"/>
      <c r="H47" s="103"/>
      <c r="I47" s="103"/>
      <c r="J47" s="103"/>
      <c r="K47" s="103"/>
      <c r="L47" s="103"/>
      <c r="M47" s="103"/>
      <c r="N47" s="103"/>
      <c r="O47" s="103"/>
      <c r="P47" s="103"/>
      <c r="Q47" s="103"/>
      <c r="R47" s="103"/>
      <c r="S47" s="103"/>
      <c r="T47" s="104"/>
      <c r="U47" s="104"/>
      <c r="V47" s="104"/>
      <c r="W47" s="104"/>
      <c r="X47" s="104"/>
      <c r="Y47" s="104"/>
    </row>
    <row r="48" spans="1:25" ht="15.75" thickTop="1" x14ac:dyDescent="0.25"/>
    <row r="49" spans="1:5" x14ac:dyDescent="0.25">
      <c r="A49" t="s">
        <v>42</v>
      </c>
      <c r="B49" s="122" t="s">
        <v>43</v>
      </c>
    </row>
    <row r="50" spans="1:5" x14ac:dyDescent="0.25">
      <c r="A50" s="123"/>
      <c r="B50" s="124"/>
      <c r="E50" s="125"/>
    </row>
    <row r="51" spans="1:5" x14ac:dyDescent="0.25">
      <c r="A51" s="126"/>
      <c r="B51" s="127"/>
      <c r="E51" s="125"/>
    </row>
    <row r="52" spans="1:5" x14ac:dyDescent="0.25">
      <c r="A52" s="126"/>
      <c r="B52" s="127"/>
      <c r="E52" s="125"/>
    </row>
    <row r="53" spans="1:5" x14ac:dyDescent="0.25">
      <c r="A53" s="126"/>
      <c r="B53" s="127"/>
      <c r="E53" s="125"/>
    </row>
    <row r="54" spans="1:5" x14ac:dyDescent="0.25">
      <c r="A54" s="126"/>
      <c r="B54" s="127"/>
      <c r="E54" s="125"/>
    </row>
    <row r="55" spans="1:5" x14ac:dyDescent="0.25">
      <c r="A55" s="128"/>
      <c r="B55" s="129"/>
      <c r="E55" s="125"/>
    </row>
    <row r="56" spans="1:5" x14ac:dyDescent="0.25">
      <c r="A56" s="128"/>
      <c r="B56" s="129"/>
      <c r="E56" s="125"/>
    </row>
    <row r="57" spans="1:5" x14ac:dyDescent="0.25">
      <c r="A57" s="128"/>
      <c r="B57" s="129"/>
      <c r="E57" s="125"/>
    </row>
    <row r="58" spans="1:5" x14ac:dyDescent="0.25">
      <c r="A58" s="128"/>
      <c r="B58" s="129"/>
      <c r="E58" s="125"/>
    </row>
    <row r="59" spans="1:5" x14ac:dyDescent="0.25">
      <c r="A59" s="128"/>
      <c r="B59" s="129"/>
      <c r="E59" s="125"/>
    </row>
    <row r="60" spans="1:5" x14ac:dyDescent="0.25">
      <c r="A60" s="128"/>
      <c r="B60" s="129"/>
      <c r="E60" s="125"/>
    </row>
    <row r="61" spans="1:5" x14ac:dyDescent="0.25">
      <c r="A61" s="128"/>
      <c r="B61" s="129"/>
      <c r="E61" s="125"/>
    </row>
    <row r="62" spans="1:5" x14ac:dyDescent="0.25">
      <c r="A62" s="128"/>
      <c r="B62" s="129"/>
      <c r="E62" s="125"/>
    </row>
    <row r="63" spans="1:5" x14ac:dyDescent="0.25">
      <c r="A63" s="128"/>
      <c r="B63" s="129"/>
      <c r="E63" s="125"/>
    </row>
    <row r="64" spans="1:5" x14ac:dyDescent="0.25">
      <c r="A64" s="128"/>
      <c r="B64" s="129"/>
      <c r="E64" s="125"/>
    </row>
    <row r="65" spans="1:5" x14ac:dyDescent="0.25">
      <c r="A65" s="128"/>
      <c r="B65" s="129"/>
      <c r="E65" s="125"/>
    </row>
    <row r="66" spans="1:5" x14ac:dyDescent="0.25">
      <c r="A66" s="128"/>
      <c r="B66" s="129"/>
      <c r="E66" s="125"/>
    </row>
    <row r="67" spans="1:5" x14ac:dyDescent="0.25">
      <c r="A67" s="128"/>
      <c r="B67" s="129"/>
      <c r="E67" s="125"/>
    </row>
    <row r="68" spans="1:5" x14ac:dyDescent="0.25">
      <c r="A68" s="128"/>
      <c r="B68" s="129"/>
    </row>
    <row r="69" spans="1:5" x14ac:dyDescent="0.25">
      <c r="A69" s="128"/>
      <c r="B69" s="129"/>
    </row>
    <row r="70" spans="1:5" x14ac:dyDescent="0.25">
      <c r="A70" s="130"/>
      <c r="B70" s="131"/>
    </row>
  </sheetData>
  <mergeCells count="8">
    <mergeCell ref="A27:A33"/>
    <mergeCell ref="A34:A40"/>
    <mergeCell ref="A41:A47"/>
    <mergeCell ref="A1:I3"/>
    <mergeCell ref="A4:B4"/>
    <mergeCell ref="A6:A12"/>
    <mergeCell ref="A13:A19"/>
    <mergeCell ref="A20:A26"/>
  </mergeCells>
  <conditionalFormatting sqref="D6:Y6">
    <cfRule type="containsText" dxfId="65" priority="13" operator="containsText" text=" Анікєєв">
      <formula>NOT(ISERROR(SEARCH(" Анікєєв",D6)))</formula>
    </cfRule>
  </conditionalFormatting>
  <conditionalFormatting sqref="D7:X7">
    <cfRule type="containsText" dxfId="64" priority="12" operator="containsText" text=" Анікєєв">
      <formula>NOT(ISERROR(SEARCH(" Анікєєв",D7)))</formula>
    </cfRule>
  </conditionalFormatting>
  <conditionalFormatting sqref="D8:X8">
    <cfRule type="containsText" dxfId="63" priority="11" operator="containsText" text=" Анікєєв">
      <formula>NOT(ISERROR(SEARCH(" Анікєєв",D8)))</formula>
    </cfRule>
  </conditionalFormatting>
  <conditionalFormatting sqref="D9:X9">
    <cfRule type="containsText" dxfId="62" priority="10" operator="containsText" text=" Анікєєв">
      <formula>NOT(ISERROR(SEARCH(" Анікєєв",D9)))</formula>
    </cfRule>
  </conditionalFormatting>
  <conditionalFormatting sqref="D10:X11">
    <cfRule type="containsText" dxfId="61" priority="9" operator="containsText" text=" Анікєєв">
      <formula>NOT(ISERROR(SEARCH(" Анікєєв",D10)))</formula>
    </cfRule>
  </conditionalFormatting>
  <conditionalFormatting sqref="D12:X12">
    <cfRule type="containsText" dxfId="60" priority="8" operator="containsText" text=" Анікєєв">
      <formula>NOT(ISERROR(SEARCH(" Анікєєв",D12)))</formula>
    </cfRule>
  </conditionalFormatting>
  <conditionalFormatting sqref="D13:X19">
    <cfRule type="containsText" dxfId="59" priority="7" operator="containsText" text=" Анікєєв">
      <formula>NOT(ISERROR(SEARCH(" Анікєєв",D13)))</formula>
    </cfRule>
  </conditionalFormatting>
  <conditionalFormatting sqref="D20:X25">
    <cfRule type="containsText" dxfId="58" priority="6" operator="containsText" text=" Анікєєв">
      <formula>NOT(ISERROR(SEARCH(" Анікєєв",D20)))</formula>
    </cfRule>
  </conditionalFormatting>
  <conditionalFormatting sqref="D27:X32">
    <cfRule type="containsText" dxfId="57" priority="5" operator="containsText" text=" Анікєєв">
      <formula>NOT(ISERROR(SEARCH(" Анікєєв",D27)))</formula>
    </cfRule>
  </conditionalFormatting>
  <conditionalFormatting sqref="D34:X34">
    <cfRule type="containsText" dxfId="56" priority="4" operator="containsText" text=" Анікєєв">
      <formula>NOT(ISERROR(SEARCH(" Анікєєв",D34)))</formula>
    </cfRule>
  </conditionalFormatting>
  <conditionalFormatting sqref="D33:X33">
    <cfRule type="containsText" dxfId="55" priority="3" operator="containsText" text=" Анікєєв">
      <formula>NOT(ISERROR(SEARCH(" Анікєєв",D33)))</formula>
    </cfRule>
  </conditionalFormatting>
  <conditionalFormatting sqref="C34:C40">
    <cfRule type="containsText" dxfId="54" priority="2" operator="containsText" text=" Анікєєв">
      <formula>NOT(ISERROR(SEARCH(" Анікєєв",C34)))</formula>
    </cfRule>
  </conditionalFormatting>
  <conditionalFormatting sqref="B41:Y41">
    <cfRule type="containsText" dxfId="53" priority="1" operator="containsText" text=" Анікєєв">
      <formula>NOT(ISERROR(SEARCH(" Анікєєв",B41)))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pageSetUpPr fitToPage="1"/>
  </sheetPr>
  <dimension ref="A1:Y70"/>
  <sheetViews>
    <sheetView topLeftCell="O1" zoomScale="70" zoomScaleNormal="70" workbookViewId="0">
      <selection activeCell="R31" sqref="R31"/>
    </sheetView>
  </sheetViews>
  <sheetFormatPr defaultRowHeight="15" x14ac:dyDescent="0.25"/>
  <cols>
    <col min="1" max="1" width="21.7109375" customWidth="1"/>
    <col min="2" max="2" width="11.85546875" customWidth="1"/>
    <col min="3" max="3" width="28.7109375" customWidth="1"/>
    <col min="4" max="4" width="39.85546875" customWidth="1"/>
    <col min="5" max="5" width="47.28515625" customWidth="1"/>
    <col min="6" max="6" width="55.85546875" customWidth="1"/>
    <col min="7" max="7" width="25" customWidth="1"/>
    <col min="8" max="8" width="27.7109375" customWidth="1"/>
    <col min="9" max="9" width="25" customWidth="1"/>
    <col min="10" max="10" width="25" bestFit="1" customWidth="1"/>
    <col min="11" max="11" width="25" customWidth="1"/>
    <col min="12" max="14" width="25" bestFit="1" customWidth="1"/>
    <col min="15" max="15" width="23.42578125" customWidth="1"/>
    <col min="16" max="16" width="24.7109375" customWidth="1"/>
    <col min="17" max="17" width="23.85546875" customWidth="1"/>
    <col min="18" max="18" width="24.7109375" customWidth="1"/>
    <col min="19" max="21" width="25" bestFit="1" customWidth="1"/>
    <col min="22" max="22" width="25" customWidth="1"/>
    <col min="23" max="23" width="25" bestFit="1" customWidth="1"/>
    <col min="24" max="24" width="25" customWidth="1"/>
    <col min="25" max="25" width="25" bestFit="1" customWidth="1"/>
  </cols>
  <sheetData>
    <row r="1" spans="1:25" ht="15" customHeight="1" x14ac:dyDescent="0.25">
      <c r="A1" s="189" t="s">
        <v>19</v>
      </c>
      <c r="B1" s="189"/>
      <c r="C1" s="189"/>
      <c r="D1" s="189"/>
      <c r="E1" s="189"/>
      <c r="F1" s="189"/>
      <c r="G1" s="189"/>
      <c r="H1" s="189"/>
      <c r="I1" s="189"/>
      <c r="J1" s="9"/>
      <c r="K1" s="9"/>
      <c r="L1" s="9"/>
      <c r="M1" s="9"/>
      <c r="N1" s="9"/>
      <c r="O1" s="9"/>
      <c r="P1" s="9"/>
      <c r="Q1" s="9"/>
      <c r="R1" s="9"/>
    </row>
    <row r="2" spans="1:25" x14ac:dyDescent="0.25">
      <c r="A2" s="189"/>
      <c r="B2" s="189"/>
      <c r="C2" s="189"/>
      <c r="D2" s="189"/>
      <c r="E2" s="189"/>
      <c r="F2" s="189"/>
      <c r="G2" s="189"/>
      <c r="H2" s="189"/>
      <c r="I2" s="189"/>
      <c r="J2" s="9"/>
      <c r="K2" s="9"/>
      <c r="L2" s="9"/>
      <c r="M2" s="9"/>
      <c r="N2" s="9"/>
      <c r="O2" s="9"/>
      <c r="P2" s="9"/>
      <c r="Q2" s="9"/>
      <c r="R2" s="9"/>
    </row>
    <row r="3" spans="1:25" ht="15.75" thickBot="1" x14ac:dyDescent="0.3">
      <c r="A3" s="190"/>
      <c r="B3" s="190"/>
      <c r="C3" s="190"/>
      <c r="D3" s="190"/>
      <c r="E3" s="190"/>
      <c r="F3" s="190"/>
      <c r="G3" s="190"/>
      <c r="H3" s="190"/>
      <c r="I3" s="190"/>
      <c r="J3" s="9"/>
      <c r="K3" s="9"/>
      <c r="L3" s="9"/>
      <c r="M3" s="9"/>
      <c r="N3" s="9"/>
      <c r="O3" s="9"/>
      <c r="P3" s="9"/>
      <c r="Q3" s="9"/>
      <c r="R3" s="9"/>
    </row>
    <row r="4" spans="1:25" s="113" customFormat="1" ht="22.5" thickTop="1" thickBot="1" x14ac:dyDescent="0.35">
      <c r="A4" s="191" t="s">
        <v>13</v>
      </c>
      <c r="B4" s="192"/>
      <c r="C4" s="1">
        <v>1</v>
      </c>
      <c r="D4" s="1">
        <v>2</v>
      </c>
      <c r="E4" s="1">
        <v>3</v>
      </c>
      <c r="F4" s="1">
        <v>4</v>
      </c>
      <c r="G4" s="1">
        <v>5</v>
      </c>
      <c r="H4" s="1">
        <v>6</v>
      </c>
      <c r="I4" s="1">
        <v>7</v>
      </c>
      <c r="J4" s="1">
        <v>8</v>
      </c>
      <c r="K4" s="1">
        <v>9</v>
      </c>
      <c r="L4" s="1">
        <v>10</v>
      </c>
      <c r="M4" s="1">
        <v>11</v>
      </c>
      <c r="N4" s="1">
        <v>12</v>
      </c>
      <c r="O4" s="1">
        <v>13</v>
      </c>
      <c r="P4" s="1">
        <v>14</v>
      </c>
      <c r="Q4" s="1">
        <v>15</v>
      </c>
      <c r="R4" s="1">
        <v>16</v>
      </c>
      <c r="S4" s="1">
        <v>17</v>
      </c>
      <c r="T4" s="112">
        <v>18</v>
      </c>
      <c r="U4" s="112">
        <v>19</v>
      </c>
      <c r="V4" s="112">
        <v>20</v>
      </c>
      <c r="W4" s="112">
        <v>21</v>
      </c>
      <c r="X4" s="112">
        <v>22</v>
      </c>
      <c r="Y4" s="112">
        <v>23</v>
      </c>
    </row>
    <row r="5" spans="1:25" ht="21.75" thickTop="1" thickBot="1" x14ac:dyDescent="0.35">
      <c r="A5" s="2" t="s">
        <v>0</v>
      </c>
      <c r="B5" s="3" t="s">
        <v>1</v>
      </c>
      <c r="C5" s="4" t="s">
        <v>25</v>
      </c>
      <c r="D5" s="4" t="s">
        <v>26</v>
      </c>
      <c r="E5" s="4" t="s">
        <v>27</v>
      </c>
      <c r="F5" s="4" t="s">
        <v>28</v>
      </c>
      <c r="G5" s="4" t="s">
        <v>29</v>
      </c>
      <c r="H5" s="4" t="s">
        <v>30</v>
      </c>
      <c r="I5" s="4" t="s">
        <v>31</v>
      </c>
      <c r="J5" s="4" t="s">
        <v>32</v>
      </c>
      <c r="K5" s="4" t="s">
        <v>33</v>
      </c>
      <c r="L5" s="4" t="s">
        <v>34</v>
      </c>
      <c r="M5" s="4" t="s">
        <v>35</v>
      </c>
      <c r="N5" s="4" t="s">
        <v>36</v>
      </c>
      <c r="O5" s="4" t="s">
        <v>37</v>
      </c>
      <c r="P5" s="4" t="s">
        <v>38</v>
      </c>
      <c r="Q5" s="4" t="s">
        <v>39</v>
      </c>
      <c r="R5" s="4" t="s">
        <v>40</v>
      </c>
      <c r="S5" s="4" t="s">
        <v>41</v>
      </c>
      <c r="T5" s="114"/>
      <c r="U5" s="114"/>
      <c r="V5" s="114"/>
      <c r="W5" s="114"/>
      <c r="X5" s="114"/>
      <c r="Y5" s="114"/>
    </row>
    <row r="6" spans="1:25" s="8" customFormat="1" ht="16.149999999999999" customHeight="1" thickTop="1" thickBot="1" x14ac:dyDescent="0.3">
      <c r="A6" s="193" t="s">
        <v>2</v>
      </c>
      <c r="B6" s="115" t="s">
        <v>10</v>
      </c>
      <c r="C6" s="65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7"/>
      <c r="U6" s="67"/>
      <c r="V6" s="67"/>
      <c r="W6" s="67"/>
      <c r="X6" s="67"/>
      <c r="Y6" s="67"/>
    </row>
    <row r="7" spans="1:25" s="8" customFormat="1" ht="16.149999999999999" customHeight="1" thickTop="1" thickBot="1" x14ac:dyDescent="0.3">
      <c r="A7" s="193"/>
      <c r="B7" s="116" t="s">
        <v>11</v>
      </c>
      <c r="C7" s="68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69"/>
      <c r="S7" s="69"/>
      <c r="T7" s="70"/>
      <c r="U7" s="70"/>
      <c r="V7" s="70"/>
      <c r="W7" s="70"/>
      <c r="X7" s="70"/>
      <c r="Y7" s="71"/>
    </row>
    <row r="8" spans="1:25" s="8" customFormat="1" ht="16.149999999999999" customHeight="1" thickTop="1" thickBot="1" x14ac:dyDescent="0.3">
      <c r="A8" s="193"/>
      <c r="B8" s="116" t="s">
        <v>12</v>
      </c>
      <c r="C8" s="68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3"/>
      <c r="U8" s="73"/>
      <c r="V8" s="73"/>
      <c r="W8" s="73"/>
      <c r="X8" s="73"/>
      <c r="Y8" s="71"/>
    </row>
    <row r="9" spans="1:25" s="8" customFormat="1" ht="16.149999999999999" customHeight="1" thickTop="1" thickBot="1" x14ac:dyDescent="0.3">
      <c r="A9" s="193"/>
      <c r="B9" s="116" t="s">
        <v>7</v>
      </c>
      <c r="C9" s="68"/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3"/>
      <c r="U9" s="73"/>
      <c r="V9" s="73"/>
      <c r="W9" s="73"/>
      <c r="X9" s="73"/>
      <c r="Y9" s="71"/>
    </row>
    <row r="10" spans="1:25" s="8" customFormat="1" ht="16.149999999999999" customHeight="1" thickTop="1" thickBot="1" x14ac:dyDescent="0.3">
      <c r="A10" s="193"/>
      <c r="B10" s="116" t="s">
        <v>8</v>
      </c>
      <c r="C10" s="68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3"/>
      <c r="U10" s="73"/>
      <c r="V10" s="73"/>
      <c r="W10" s="73"/>
      <c r="X10" s="73"/>
      <c r="Y10" s="71"/>
    </row>
    <row r="11" spans="1:25" s="8" customFormat="1" ht="16.149999999999999" customHeight="1" thickTop="1" thickBot="1" x14ac:dyDescent="0.3">
      <c r="A11" s="193"/>
      <c r="B11" s="117" t="s">
        <v>9</v>
      </c>
      <c r="C11" s="74"/>
      <c r="D11" s="75"/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6"/>
      <c r="U11" s="76"/>
      <c r="V11" s="76"/>
      <c r="W11" s="76"/>
      <c r="X11" s="76"/>
      <c r="Y11" s="77"/>
    </row>
    <row r="12" spans="1:25" s="11" customFormat="1" ht="16.149999999999999" customHeight="1" thickTop="1" thickBot="1" x14ac:dyDescent="0.3">
      <c r="A12" s="193"/>
      <c r="B12" s="118" t="s">
        <v>14</v>
      </c>
      <c r="C12" s="78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80"/>
      <c r="U12" s="80"/>
      <c r="V12" s="80"/>
      <c r="W12" s="80"/>
      <c r="X12" s="80"/>
      <c r="Y12" s="81"/>
    </row>
    <row r="13" spans="1:25" s="11" customFormat="1" ht="16.149999999999999" customHeight="1" thickTop="1" thickBot="1" x14ac:dyDescent="0.3">
      <c r="A13" s="194" t="s">
        <v>3</v>
      </c>
      <c r="B13" s="97" t="s">
        <v>10</v>
      </c>
      <c r="C13" s="82"/>
      <c r="D13" s="83"/>
      <c r="E13" s="83"/>
      <c r="F13" s="83"/>
      <c r="G13" s="83"/>
      <c r="H13" s="83"/>
      <c r="I13" s="83"/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4"/>
      <c r="U13" s="84"/>
      <c r="V13" s="84"/>
      <c r="W13" s="84"/>
      <c r="X13" s="84"/>
      <c r="Y13" s="85"/>
    </row>
    <row r="14" spans="1:25" s="11" customFormat="1" ht="16.5" thickTop="1" thickBot="1" x14ac:dyDescent="0.3">
      <c r="A14" s="194"/>
      <c r="B14" s="119" t="s">
        <v>11</v>
      </c>
      <c r="C14" s="86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8"/>
      <c r="U14" s="88"/>
      <c r="V14" s="88"/>
      <c r="W14" s="88"/>
      <c r="X14" s="88"/>
      <c r="Y14" s="71"/>
    </row>
    <row r="15" spans="1:25" s="11" customFormat="1" ht="16.5" thickTop="1" thickBot="1" x14ac:dyDescent="0.3">
      <c r="A15" s="194"/>
      <c r="B15" s="119" t="s">
        <v>12</v>
      </c>
      <c r="C15" s="89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73"/>
      <c r="U15" s="73"/>
      <c r="V15" s="73"/>
      <c r="W15" s="73"/>
      <c r="X15" s="73"/>
      <c r="Y15" s="71"/>
    </row>
    <row r="16" spans="1:25" s="11" customFormat="1" ht="16.149999999999999" customHeight="1" thickTop="1" thickBot="1" x14ac:dyDescent="0.3">
      <c r="A16" s="194"/>
      <c r="B16" s="119" t="s">
        <v>7</v>
      </c>
      <c r="C16" s="86"/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8"/>
      <c r="U16" s="88"/>
      <c r="V16" s="88"/>
      <c r="W16" s="88"/>
      <c r="X16" s="88"/>
      <c r="Y16" s="71"/>
    </row>
    <row r="17" spans="1:25" s="11" customFormat="1" ht="16.149999999999999" customHeight="1" thickTop="1" thickBot="1" x14ac:dyDescent="0.3">
      <c r="A17" s="194"/>
      <c r="B17" s="119" t="s">
        <v>8</v>
      </c>
      <c r="C17" s="86"/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8"/>
      <c r="U17" s="88"/>
      <c r="V17" s="88"/>
      <c r="W17" s="88"/>
      <c r="X17" s="88"/>
      <c r="Y17" s="71"/>
    </row>
    <row r="18" spans="1:25" s="8" customFormat="1" ht="16.149999999999999" customHeight="1" thickTop="1" thickBot="1" x14ac:dyDescent="0.3">
      <c r="A18" s="194"/>
      <c r="B18" s="120" t="s">
        <v>9</v>
      </c>
      <c r="C18" s="86"/>
      <c r="D18" s="91"/>
      <c r="E18" s="91"/>
      <c r="F18" s="91"/>
      <c r="G18" s="91"/>
      <c r="H18" s="91"/>
      <c r="I18" s="91"/>
      <c r="J18" s="91"/>
      <c r="K18" s="91"/>
      <c r="L18" s="91"/>
      <c r="M18" s="91"/>
      <c r="N18" s="91"/>
      <c r="O18" s="91"/>
      <c r="P18" s="91"/>
      <c r="Q18" s="91"/>
      <c r="R18" s="91"/>
      <c r="S18" s="91"/>
      <c r="T18" s="92"/>
      <c r="U18" s="92"/>
      <c r="V18" s="92"/>
      <c r="W18" s="92"/>
      <c r="X18" s="92"/>
      <c r="Y18" s="77"/>
    </row>
    <row r="19" spans="1:25" s="8" customFormat="1" ht="16.149999999999999" customHeight="1" thickTop="1" thickBot="1" x14ac:dyDescent="0.3">
      <c r="A19" s="194"/>
      <c r="B19" s="121" t="s">
        <v>14</v>
      </c>
      <c r="C19" s="93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80"/>
      <c r="U19" s="80"/>
      <c r="V19" s="80"/>
      <c r="W19" s="80"/>
      <c r="X19" s="80"/>
      <c r="Y19" s="81"/>
    </row>
    <row r="20" spans="1:25" s="8" customFormat="1" ht="16.149999999999999" customHeight="1" thickTop="1" thickBot="1" x14ac:dyDescent="0.3">
      <c r="A20" s="193" t="s">
        <v>4</v>
      </c>
      <c r="B20" s="115" t="s">
        <v>10</v>
      </c>
      <c r="C20" s="65"/>
      <c r="D20" s="95"/>
      <c r="E20" s="95"/>
      <c r="F20" s="95"/>
      <c r="G20" s="95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84"/>
      <c r="U20" s="84"/>
      <c r="V20" s="84"/>
      <c r="W20" s="84"/>
      <c r="X20" s="84"/>
      <c r="Y20" s="85"/>
    </row>
    <row r="21" spans="1:25" s="8" customFormat="1" ht="16.149999999999999" customHeight="1" thickTop="1" thickBot="1" x14ac:dyDescent="0.3">
      <c r="A21" s="193"/>
      <c r="B21" s="116" t="s">
        <v>11</v>
      </c>
      <c r="C21" s="68"/>
      <c r="D21" s="96"/>
      <c r="E21" s="96"/>
      <c r="F21" s="96"/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88"/>
      <c r="U21" s="88"/>
      <c r="V21" s="88"/>
      <c r="W21" s="88"/>
      <c r="X21" s="88"/>
      <c r="Y21" s="71"/>
    </row>
    <row r="22" spans="1:25" s="8" customFormat="1" ht="16.149999999999999" customHeight="1" thickTop="1" thickBot="1" x14ac:dyDescent="0.3">
      <c r="A22" s="193"/>
      <c r="B22" s="116" t="s">
        <v>12</v>
      </c>
      <c r="C22" s="68"/>
      <c r="D22" s="96"/>
      <c r="E22" s="96"/>
      <c r="F22" s="96"/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88"/>
      <c r="U22" s="88"/>
      <c r="V22" s="88"/>
      <c r="W22" s="88"/>
      <c r="X22" s="88"/>
      <c r="Y22" s="71"/>
    </row>
    <row r="23" spans="1:25" s="8" customFormat="1" ht="16.149999999999999" customHeight="1" thickTop="1" thickBot="1" x14ac:dyDescent="0.3">
      <c r="A23" s="193"/>
      <c r="B23" s="116" t="s">
        <v>7</v>
      </c>
      <c r="C23" s="68"/>
      <c r="D23" s="96"/>
      <c r="E23" s="96"/>
      <c r="F23" s="96"/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88"/>
      <c r="U23" s="88"/>
      <c r="V23" s="88"/>
      <c r="W23" s="88"/>
      <c r="X23" s="88"/>
      <c r="Y23" s="71"/>
    </row>
    <row r="24" spans="1:25" s="8" customFormat="1" ht="16.149999999999999" customHeight="1" thickTop="1" thickBot="1" x14ac:dyDescent="0.3">
      <c r="A24" s="193"/>
      <c r="B24" s="116" t="s">
        <v>8</v>
      </c>
      <c r="C24" s="68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3"/>
      <c r="U24" s="73"/>
      <c r="V24" s="73"/>
      <c r="W24" s="73"/>
      <c r="X24" s="73"/>
      <c r="Y24" s="71"/>
    </row>
    <row r="25" spans="1:25" s="11" customFormat="1" ht="16.149999999999999" customHeight="1" thickTop="1" thickBot="1" x14ac:dyDescent="0.3">
      <c r="A25" s="193"/>
      <c r="B25" s="116" t="s">
        <v>9</v>
      </c>
      <c r="C25" s="68"/>
      <c r="D25" s="96"/>
      <c r="E25" s="96"/>
      <c r="F25" s="96"/>
      <c r="G25" s="96"/>
      <c r="H25" s="96"/>
      <c r="I25" s="96"/>
      <c r="J25" s="96"/>
      <c r="K25" s="96"/>
      <c r="L25" s="96"/>
      <c r="M25" s="96"/>
      <c r="N25" s="96"/>
      <c r="O25" s="96"/>
      <c r="P25" s="96"/>
      <c r="Q25" s="96"/>
      <c r="R25" s="96"/>
      <c r="S25" s="96"/>
      <c r="T25" s="88"/>
      <c r="U25" s="88"/>
      <c r="V25" s="88"/>
      <c r="W25" s="88"/>
      <c r="X25" s="88"/>
      <c r="Y25" s="71"/>
    </row>
    <row r="26" spans="1:25" s="11" customFormat="1" ht="16.149999999999999" customHeight="1" thickTop="1" thickBot="1" x14ac:dyDescent="0.3">
      <c r="A26" s="193"/>
      <c r="B26" s="118" t="s">
        <v>14</v>
      </c>
      <c r="C26" s="78"/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80"/>
      <c r="U26" s="80"/>
      <c r="V26" s="80"/>
      <c r="W26" s="80"/>
      <c r="X26" s="80"/>
      <c r="Y26" s="81"/>
    </row>
    <row r="27" spans="1:25" s="11" customFormat="1" ht="16.149999999999999" customHeight="1" thickTop="1" thickBot="1" x14ac:dyDescent="0.3">
      <c r="A27" s="194" t="s">
        <v>5</v>
      </c>
      <c r="B27" s="97" t="s">
        <v>10</v>
      </c>
      <c r="C27" s="97"/>
      <c r="D27" s="98"/>
      <c r="E27" s="98"/>
      <c r="F27" s="98"/>
      <c r="G27" s="98"/>
      <c r="H27" s="98"/>
      <c r="I27" s="98"/>
      <c r="J27" s="98"/>
      <c r="K27" s="98"/>
      <c r="L27" s="98"/>
      <c r="M27" s="98"/>
      <c r="N27" s="98"/>
      <c r="O27" s="98"/>
      <c r="P27" s="98"/>
      <c r="Q27" s="98"/>
      <c r="R27" s="98"/>
      <c r="S27" s="98"/>
      <c r="T27" s="67"/>
      <c r="U27" s="67"/>
      <c r="V27" s="67"/>
      <c r="W27" s="67"/>
      <c r="X27" s="67"/>
      <c r="Y27" s="85"/>
    </row>
    <row r="28" spans="1:25" s="11" customFormat="1" ht="16.149999999999999" customHeight="1" thickTop="1" thickBot="1" x14ac:dyDescent="0.3">
      <c r="A28" s="194"/>
      <c r="B28" s="119" t="s">
        <v>11</v>
      </c>
      <c r="C28" s="86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7"/>
      <c r="S28" s="87"/>
      <c r="T28" s="88"/>
      <c r="U28" s="88"/>
      <c r="V28" s="88"/>
      <c r="W28" s="88"/>
      <c r="X28" s="88"/>
      <c r="Y28" s="71"/>
    </row>
    <row r="29" spans="1:25" s="11" customFormat="1" ht="16.149999999999999" customHeight="1" thickTop="1" thickBot="1" x14ac:dyDescent="0.3">
      <c r="A29" s="194"/>
      <c r="B29" s="119" t="s">
        <v>12</v>
      </c>
      <c r="C29" s="86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8"/>
      <c r="U29" s="88"/>
      <c r="V29" s="88"/>
      <c r="W29" s="88"/>
      <c r="X29" s="88"/>
      <c r="Y29" s="71"/>
    </row>
    <row r="30" spans="1:25" s="11" customFormat="1" ht="16.149999999999999" customHeight="1" thickTop="1" thickBot="1" x14ac:dyDescent="0.3">
      <c r="A30" s="194"/>
      <c r="B30" s="119" t="s">
        <v>7</v>
      </c>
      <c r="C30" s="99"/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90"/>
      <c r="S30" s="90"/>
      <c r="T30" s="73"/>
      <c r="U30" s="73"/>
      <c r="V30" s="73"/>
      <c r="W30" s="73"/>
      <c r="X30" s="73"/>
      <c r="Y30" s="71"/>
    </row>
    <row r="31" spans="1:25" s="11" customFormat="1" ht="16.149999999999999" customHeight="1" thickTop="1" thickBot="1" x14ac:dyDescent="0.3">
      <c r="A31" s="194"/>
      <c r="B31" s="119" t="s">
        <v>8</v>
      </c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90"/>
      <c r="S31" s="90"/>
      <c r="T31" s="73"/>
      <c r="U31" s="73"/>
      <c r="V31" s="73"/>
      <c r="W31" s="73"/>
      <c r="X31" s="73"/>
      <c r="Y31" s="100"/>
    </row>
    <row r="32" spans="1:25" s="8" customFormat="1" ht="16.149999999999999" customHeight="1" thickTop="1" thickBot="1" x14ac:dyDescent="0.3">
      <c r="A32" s="194"/>
      <c r="B32" s="120" t="s">
        <v>9</v>
      </c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73"/>
      <c r="U32" s="73"/>
      <c r="V32" s="73"/>
      <c r="W32" s="73"/>
      <c r="X32" s="73"/>
      <c r="Y32" s="101"/>
    </row>
    <row r="33" spans="1:25" s="8" customFormat="1" ht="16.5" thickTop="1" thickBot="1" x14ac:dyDescent="0.3">
      <c r="A33" s="194"/>
      <c r="B33" s="121" t="s">
        <v>14</v>
      </c>
      <c r="C33" s="90"/>
      <c r="D33" s="87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88"/>
      <c r="U33" s="88"/>
      <c r="V33" s="88"/>
      <c r="W33" s="88"/>
      <c r="X33" s="88"/>
      <c r="Y33" s="81"/>
    </row>
    <row r="34" spans="1:25" s="8" customFormat="1" ht="16.149999999999999" customHeight="1" thickTop="1" thickBot="1" x14ac:dyDescent="0.3">
      <c r="A34" s="188" t="s">
        <v>6</v>
      </c>
      <c r="B34" s="115" t="s">
        <v>10</v>
      </c>
      <c r="C34" s="95"/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84"/>
      <c r="U34" s="84"/>
      <c r="V34" s="84"/>
      <c r="W34" s="84"/>
      <c r="X34" s="84"/>
      <c r="Y34" s="85"/>
    </row>
    <row r="35" spans="1:25" s="8" customFormat="1" ht="16.149999999999999" customHeight="1" thickTop="1" thickBot="1" x14ac:dyDescent="0.3">
      <c r="A35" s="188"/>
      <c r="B35" s="116" t="s">
        <v>11</v>
      </c>
      <c r="C35" s="96"/>
      <c r="D35" s="96"/>
      <c r="E35" s="96"/>
      <c r="F35" s="96"/>
      <c r="G35" s="96"/>
      <c r="H35" s="96"/>
      <c r="I35" s="96"/>
      <c r="J35" s="96"/>
      <c r="K35" s="96"/>
      <c r="L35" s="96"/>
      <c r="M35" s="96"/>
      <c r="N35" s="96"/>
      <c r="O35" s="96"/>
      <c r="P35" s="96"/>
      <c r="Q35" s="96"/>
      <c r="R35" s="96"/>
      <c r="S35" s="96"/>
      <c r="T35" s="88"/>
      <c r="U35" s="88"/>
      <c r="V35" s="88"/>
      <c r="W35" s="88"/>
      <c r="X35" s="88"/>
      <c r="Y35" s="71"/>
    </row>
    <row r="36" spans="1:25" s="8" customFormat="1" ht="16.149999999999999" customHeight="1" thickTop="1" thickBot="1" x14ac:dyDescent="0.3">
      <c r="A36" s="188"/>
      <c r="B36" s="116" t="s">
        <v>12</v>
      </c>
      <c r="C36" s="69"/>
      <c r="D36" s="69"/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69"/>
      <c r="S36" s="69"/>
      <c r="T36" s="70"/>
      <c r="U36" s="70"/>
      <c r="V36" s="70"/>
      <c r="W36" s="70"/>
      <c r="X36" s="70"/>
      <c r="Y36" s="71"/>
    </row>
    <row r="37" spans="1:25" ht="16.149999999999999" customHeight="1" thickTop="1" thickBot="1" x14ac:dyDescent="0.3">
      <c r="A37" s="188"/>
      <c r="B37" s="116" t="s">
        <v>7</v>
      </c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3"/>
      <c r="U37" s="73"/>
      <c r="V37" s="73"/>
      <c r="W37" s="73"/>
      <c r="X37" s="73"/>
      <c r="Y37" s="100"/>
    </row>
    <row r="38" spans="1:25" ht="16.149999999999999" customHeight="1" thickTop="1" thickBot="1" x14ac:dyDescent="0.3">
      <c r="A38" s="188"/>
      <c r="B38" s="116" t="s">
        <v>8</v>
      </c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3"/>
      <c r="U38" s="73"/>
      <c r="V38" s="73"/>
      <c r="W38" s="73"/>
      <c r="X38" s="73"/>
      <c r="Y38" s="71"/>
    </row>
    <row r="39" spans="1:25" ht="16.149999999999999" customHeight="1" thickTop="1" thickBot="1" x14ac:dyDescent="0.3">
      <c r="A39" s="188"/>
      <c r="B39" s="117" t="s">
        <v>9</v>
      </c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6"/>
      <c r="U39" s="76"/>
      <c r="V39" s="76"/>
      <c r="W39" s="76"/>
      <c r="X39" s="76"/>
      <c r="Y39" s="77"/>
    </row>
    <row r="40" spans="1:25" ht="16.149999999999999" customHeight="1" thickTop="1" thickBot="1" x14ac:dyDescent="0.3">
      <c r="A40" s="188"/>
      <c r="B40" s="118" t="s">
        <v>14</v>
      </c>
      <c r="C40" s="102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3"/>
      <c r="S40" s="103"/>
      <c r="T40" s="104"/>
      <c r="U40" s="104"/>
      <c r="V40" s="104"/>
      <c r="W40" s="104"/>
      <c r="X40" s="104"/>
      <c r="Y40" s="105"/>
    </row>
    <row r="41" spans="1:25" ht="16.149999999999999" customHeight="1" thickTop="1" thickBot="1" x14ac:dyDescent="0.3">
      <c r="A41" s="188" t="s">
        <v>24</v>
      </c>
      <c r="B41" s="106" t="s">
        <v>10</v>
      </c>
      <c r="C41" s="106"/>
      <c r="D41" s="106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84"/>
      <c r="U41" s="84"/>
      <c r="V41" s="84"/>
      <c r="W41" s="84"/>
      <c r="X41" s="84"/>
      <c r="Y41" s="84"/>
    </row>
    <row r="42" spans="1:25" ht="16.149999999999999" customHeight="1" thickTop="1" thickBot="1" x14ac:dyDescent="0.3">
      <c r="A42" s="188"/>
      <c r="B42" s="107" t="s">
        <v>11</v>
      </c>
      <c r="C42" s="107"/>
      <c r="D42" s="107"/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88"/>
      <c r="U42" s="88"/>
      <c r="V42" s="88"/>
      <c r="W42" s="88"/>
      <c r="X42" s="88"/>
      <c r="Y42" s="88"/>
    </row>
    <row r="43" spans="1:25" ht="16.149999999999999" customHeight="1" thickTop="1" thickBot="1" x14ac:dyDescent="0.3">
      <c r="A43" s="188"/>
      <c r="B43" s="108" t="s">
        <v>12</v>
      </c>
      <c r="C43" s="108"/>
      <c r="D43" s="108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69"/>
      <c r="Q43" s="69"/>
      <c r="R43" s="69"/>
      <c r="S43" s="69"/>
      <c r="T43" s="70"/>
      <c r="U43" s="70"/>
      <c r="V43" s="70"/>
      <c r="W43" s="70"/>
      <c r="X43" s="70"/>
      <c r="Y43" s="70"/>
    </row>
    <row r="44" spans="1:25" ht="16.5" thickTop="1" thickBot="1" x14ac:dyDescent="0.3">
      <c r="A44" s="188"/>
      <c r="B44" s="109" t="s">
        <v>7</v>
      </c>
      <c r="C44" s="109"/>
      <c r="D44" s="109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3"/>
      <c r="U44" s="73"/>
      <c r="V44" s="73"/>
      <c r="W44" s="73"/>
      <c r="X44" s="73"/>
      <c r="Y44" s="73"/>
    </row>
    <row r="45" spans="1:25" ht="16.5" thickTop="1" thickBot="1" x14ac:dyDescent="0.3">
      <c r="A45" s="188"/>
      <c r="B45" s="109" t="s">
        <v>8</v>
      </c>
      <c r="C45" s="109"/>
      <c r="D45" s="109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3"/>
      <c r="U45" s="73"/>
      <c r="V45" s="73"/>
      <c r="W45" s="73"/>
      <c r="X45" s="73"/>
      <c r="Y45" s="73"/>
    </row>
    <row r="46" spans="1:25" ht="16.5" thickTop="1" thickBot="1" x14ac:dyDescent="0.3">
      <c r="A46" s="188"/>
      <c r="B46" s="110" t="s">
        <v>9</v>
      </c>
      <c r="C46" s="110"/>
      <c r="D46" s="110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5"/>
      <c r="S46" s="75"/>
      <c r="T46" s="76"/>
      <c r="U46" s="76"/>
      <c r="V46" s="76"/>
      <c r="W46" s="76"/>
      <c r="X46" s="76"/>
      <c r="Y46" s="76"/>
    </row>
    <row r="47" spans="1:25" ht="16.5" thickTop="1" thickBot="1" x14ac:dyDescent="0.3">
      <c r="A47" s="188"/>
      <c r="B47" s="118" t="s">
        <v>14</v>
      </c>
      <c r="C47" s="111"/>
      <c r="D47" s="111"/>
      <c r="E47" s="103"/>
      <c r="F47" s="103"/>
      <c r="G47" s="103"/>
      <c r="H47" s="103"/>
      <c r="I47" s="103"/>
      <c r="J47" s="103"/>
      <c r="K47" s="103"/>
      <c r="L47" s="103"/>
      <c r="M47" s="103"/>
      <c r="N47" s="103"/>
      <c r="O47" s="103"/>
      <c r="P47" s="103"/>
      <c r="Q47" s="103"/>
      <c r="R47" s="103"/>
      <c r="S47" s="103"/>
      <c r="T47" s="104"/>
      <c r="U47" s="104"/>
      <c r="V47" s="104"/>
      <c r="W47" s="104"/>
      <c r="X47" s="104"/>
      <c r="Y47" s="104"/>
    </row>
    <row r="48" spans="1:25" ht="15.75" thickTop="1" x14ac:dyDescent="0.25"/>
    <row r="49" spans="1:5" x14ac:dyDescent="0.25">
      <c r="A49" t="s">
        <v>42</v>
      </c>
      <c r="B49" s="122" t="s">
        <v>43</v>
      </c>
    </row>
    <row r="50" spans="1:5" x14ac:dyDescent="0.25">
      <c r="A50" s="123"/>
      <c r="B50" s="124"/>
      <c r="E50" s="125"/>
    </row>
    <row r="51" spans="1:5" x14ac:dyDescent="0.25">
      <c r="A51" s="126"/>
      <c r="B51" s="127"/>
      <c r="E51" s="125"/>
    </row>
    <row r="52" spans="1:5" x14ac:dyDescent="0.25">
      <c r="A52" s="126"/>
      <c r="B52" s="127"/>
      <c r="E52" s="125"/>
    </row>
    <row r="53" spans="1:5" x14ac:dyDescent="0.25">
      <c r="A53" s="126"/>
      <c r="B53" s="127"/>
      <c r="E53" s="125"/>
    </row>
    <row r="54" spans="1:5" x14ac:dyDescent="0.25">
      <c r="A54" s="126"/>
      <c r="B54" s="127"/>
      <c r="E54" s="125"/>
    </row>
    <row r="55" spans="1:5" x14ac:dyDescent="0.25">
      <c r="A55" s="128"/>
      <c r="B55" s="129"/>
      <c r="E55" s="125"/>
    </row>
    <row r="56" spans="1:5" x14ac:dyDescent="0.25">
      <c r="A56" s="128"/>
      <c r="B56" s="129"/>
      <c r="E56" s="125"/>
    </row>
    <row r="57" spans="1:5" x14ac:dyDescent="0.25">
      <c r="A57" s="128"/>
      <c r="B57" s="129"/>
      <c r="E57" s="125"/>
    </row>
    <row r="58" spans="1:5" x14ac:dyDescent="0.25">
      <c r="A58" s="128"/>
      <c r="B58" s="129"/>
      <c r="E58" s="125"/>
    </row>
    <row r="59" spans="1:5" x14ac:dyDescent="0.25">
      <c r="A59" s="128"/>
      <c r="B59" s="129"/>
      <c r="E59" s="125"/>
    </row>
    <row r="60" spans="1:5" x14ac:dyDescent="0.25">
      <c r="A60" s="128"/>
      <c r="B60" s="129"/>
      <c r="E60" s="125"/>
    </row>
    <row r="61" spans="1:5" x14ac:dyDescent="0.25">
      <c r="A61" s="128"/>
      <c r="B61" s="129"/>
      <c r="E61" s="125"/>
    </row>
    <row r="62" spans="1:5" x14ac:dyDescent="0.25">
      <c r="A62" s="128"/>
      <c r="B62" s="129"/>
      <c r="E62" s="125"/>
    </row>
    <row r="63" spans="1:5" x14ac:dyDescent="0.25">
      <c r="A63" s="128"/>
      <c r="B63" s="129"/>
      <c r="E63" s="125"/>
    </row>
    <row r="64" spans="1:5" x14ac:dyDescent="0.25">
      <c r="A64" s="128"/>
      <c r="B64" s="129"/>
      <c r="E64" s="125"/>
    </row>
    <row r="65" spans="1:5" x14ac:dyDescent="0.25">
      <c r="A65" s="128"/>
      <c r="B65" s="129"/>
      <c r="E65" s="125"/>
    </row>
    <row r="66" spans="1:5" x14ac:dyDescent="0.25">
      <c r="A66" s="128"/>
      <c r="B66" s="129"/>
      <c r="E66" s="125"/>
    </row>
    <row r="67" spans="1:5" x14ac:dyDescent="0.25">
      <c r="A67" s="128"/>
      <c r="B67" s="129"/>
      <c r="E67" s="125"/>
    </row>
    <row r="68" spans="1:5" x14ac:dyDescent="0.25">
      <c r="A68" s="128"/>
      <c r="B68" s="129"/>
    </row>
    <row r="69" spans="1:5" x14ac:dyDescent="0.25">
      <c r="A69" s="128"/>
      <c r="B69" s="129"/>
    </row>
    <row r="70" spans="1:5" x14ac:dyDescent="0.25">
      <c r="A70" s="130"/>
      <c r="B70" s="131"/>
    </row>
  </sheetData>
  <mergeCells count="8">
    <mergeCell ref="A27:A33"/>
    <mergeCell ref="A34:A40"/>
    <mergeCell ref="A41:A47"/>
    <mergeCell ref="A1:I3"/>
    <mergeCell ref="A4:B4"/>
    <mergeCell ref="A6:A12"/>
    <mergeCell ref="A13:A19"/>
    <mergeCell ref="A20:A26"/>
  </mergeCells>
  <conditionalFormatting sqref="D6:Y6">
    <cfRule type="containsText" dxfId="52" priority="13" operator="containsText" text=" Анікєєв">
      <formula>NOT(ISERROR(SEARCH(" Анікєєв",D6)))</formula>
    </cfRule>
  </conditionalFormatting>
  <conditionalFormatting sqref="D7:X7">
    <cfRule type="containsText" dxfId="51" priority="12" operator="containsText" text=" Анікєєв">
      <formula>NOT(ISERROR(SEARCH(" Анікєєв",D7)))</formula>
    </cfRule>
  </conditionalFormatting>
  <conditionalFormatting sqref="D8:X8">
    <cfRule type="containsText" dxfId="50" priority="11" operator="containsText" text=" Анікєєв">
      <formula>NOT(ISERROR(SEARCH(" Анікєєв",D8)))</formula>
    </cfRule>
  </conditionalFormatting>
  <conditionalFormatting sqref="D9:X9">
    <cfRule type="containsText" dxfId="49" priority="10" operator="containsText" text=" Анікєєв">
      <formula>NOT(ISERROR(SEARCH(" Анікєєв",D9)))</formula>
    </cfRule>
  </conditionalFormatting>
  <conditionalFormatting sqref="D10:X11">
    <cfRule type="containsText" dxfId="48" priority="9" operator="containsText" text=" Анікєєв">
      <formula>NOT(ISERROR(SEARCH(" Анікєєв",D10)))</formula>
    </cfRule>
  </conditionalFormatting>
  <conditionalFormatting sqref="D12:X12">
    <cfRule type="containsText" dxfId="47" priority="8" operator="containsText" text=" Анікєєв">
      <formula>NOT(ISERROR(SEARCH(" Анікєєв",D12)))</formula>
    </cfRule>
  </conditionalFormatting>
  <conditionalFormatting sqref="D13:X19">
    <cfRule type="containsText" dxfId="46" priority="7" operator="containsText" text=" Анікєєв">
      <formula>NOT(ISERROR(SEARCH(" Анікєєв",D13)))</formula>
    </cfRule>
  </conditionalFormatting>
  <conditionalFormatting sqref="D20:X25">
    <cfRule type="containsText" dxfId="45" priority="6" operator="containsText" text=" Анікєєв">
      <formula>NOT(ISERROR(SEARCH(" Анікєєв",D20)))</formula>
    </cfRule>
  </conditionalFormatting>
  <conditionalFormatting sqref="D27:X32">
    <cfRule type="containsText" dxfId="44" priority="5" operator="containsText" text=" Анікєєв">
      <formula>NOT(ISERROR(SEARCH(" Анікєєв",D27)))</formula>
    </cfRule>
  </conditionalFormatting>
  <conditionalFormatting sqref="D34:X34">
    <cfRule type="containsText" dxfId="43" priority="4" operator="containsText" text=" Анікєєв">
      <formula>NOT(ISERROR(SEARCH(" Анікєєв",D34)))</formula>
    </cfRule>
  </conditionalFormatting>
  <conditionalFormatting sqref="D33:X33">
    <cfRule type="containsText" dxfId="42" priority="3" operator="containsText" text=" Анікєєв">
      <formula>NOT(ISERROR(SEARCH(" Анікєєв",D33)))</formula>
    </cfRule>
  </conditionalFormatting>
  <conditionalFormatting sqref="C34:C40">
    <cfRule type="containsText" dxfId="41" priority="2" operator="containsText" text=" Анікєєв">
      <formula>NOT(ISERROR(SEARCH(" Анікєєв",C34)))</formula>
    </cfRule>
  </conditionalFormatting>
  <conditionalFormatting sqref="B41:Y41">
    <cfRule type="containsText" dxfId="40" priority="1" operator="containsText" text=" Анікєєв">
      <formula>NOT(ISERROR(SEARCH(" Анікєєв",B41)))</formula>
    </cfRule>
  </conditionalFormatting>
  <pageMargins left="0.31496062992125984" right="0.51181102362204722" top="0.35433070866141736" bottom="0.55118110236220474" header="0.31496062992125984" footer="0.31496062992125984"/>
  <pageSetup paperSize="9" scale="57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">
    <pageSetUpPr fitToPage="1"/>
  </sheetPr>
  <dimension ref="A1:Y70"/>
  <sheetViews>
    <sheetView zoomScale="85" zoomScaleNormal="85" workbookViewId="0">
      <pane xSplit="6" ySplit="5" topLeftCell="G21" activePane="bottomRight" state="frozenSplit"/>
      <selection pane="topRight" activeCell="H1" sqref="H1"/>
      <selection pane="bottomLeft" activeCell="A44" sqref="A44"/>
      <selection pane="bottomRight" activeCell="M38" sqref="M38"/>
    </sheetView>
  </sheetViews>
  <sheetFormatPr defaultRowHeight="15" x14ac:dyDescent="0.25"/>
  <cols>
    <col min="1" max="1" width="24.42578125" bestFit="1" customWidth="1"/>
    <col min="2" max="2" width="11.85546875" customWidth="1"/>
    <col min="3" max="3" width="28.7109375" hidden="1" customWidth="1"/>
    <col min="4" max="4" width="39.85546875" hidden="1" customWidth="1"/>
    <col min="5" max="5" width="47.28515625" hidden="1" customWidth="1"/>
    <col min="6" max="6" width="30.85546875" hidden="1" customWidth="1"/>
    <col min="7" max="7" width="30.85546875" bestFit="1" customWidth="1"/>
    <col min="8" max="8" width="30.28515625" bestFit="1" customWidth="1"/>
    <col min="9" max="9" width="29.140625" bestFit="1" customWidth="1"/>
    <col min="10" max="10" width="32.140625" bestFit="1" customWidth="1"/>
    <col min="11" max="12" width="29.140625" bestFit="1" customWidth="1"/>
    <col min="13" max="17" width="25" bestFit="1" customWidth="1"/>
    <col min="18" max="18" width="24.28515625" bestFit="1" customWidth="1"/>
    <col min="19" max="21" width="25" bestFit="1" customWidth="1"/>
    <col min="22" max="22" width="25" customWidth="1"/>
    <col min="23" max="23" width="25" bestFit="1" customWidth="1"/>
    <col min="24" max="24" width="25" customWidth="1"/>
    <col min="25" max="25" width="25" bestFit="1" customWidth="1"/>
  </cols>
  <sheetData>
    <row r="1" spans="1:25" ht="15" customHeight="1" x14ac:dyDescent="0.25">
      <c r="A1" s="189" t="s">
        <v>15</v>
      </c>
      <c r="B1" s="189"/>
      <c r="C1" s="189"/>
      <c r="D1" s="189"/>
      <c r="E1" s="189"/>
      <c r="F1" s="189"/>
      <c r="G1" s="189"/>
      <c r="H1" s="189"/>
      <c r="I1" s="189"/>
      <c r="J1" s="9"/>
      <c r="K1" s="9"/>
      <c r="L1" s="9"/>
      <c r="M1" s="9"/>
      <c r="N1" s="9"/>
      <c r="O1" s="9"/>
      <c r="P1" s="9"/>
      <c r="Q1" s="9"/>
      <c r="R1" s="9"/>
    </row>
    <row r="2" spans="1:25" x14ac:dyDescent="0.25">
      <c r="A2" s="189"/>
      <c r="B2" s="189"/>
      <c r="C2" s="189"/>
      <c r="D2" s="189"/>
      <c r="E2" s="189"/>
      <c r="F2" s="189"/>
      <c r="G2" s="189"/>
      <c r="H2" s="189"/>
      <c r="I2" s="189"/>
      <c r="J2" s="9"/>
      <c r="K2" s="9"/>
      <c r="L2" s="9"/>
      <c r="M2" s="9"/>
      <c r="N2" s="9"/>
      <c r="O2" s="9"/>
      <c r="P2" s="9"/>
      <c r="Q2" s="9"/>
      <c r="R2" s="9"/>
    </row>
    <row r="3" spans="1:25" ht="15.75" thickBot="1" x14ac:dyDescent="0.3">
      <c r="A3" s="190"/>
      <c r="B3" s="190"/>
      <c r="C3" s="190"/>
      <c r="D3" s="190"/>
      <c r="E3" s="190"/>
      <c r="F3" s="190"/>
      <c r="G3" s="190"/>
      <c r="H3" s="190"/>
      <c r="I3" s="190"/>
      <c r="J3" s="9"/>
      <c r="K3" s="9"/>
      <c r="L3" s="9"/>
      <c r="M3" s="9"/>
      <c r="N3" s="9"/>
      <c r="O3" s="9"/>
      <c r="P3" s="9"/>
      <c r="Q3" s="9"/>
      <c r="R3" s="9"/>
    </row>
    <row r="4" spans="1:25" s="113" customFormat="1" ht="22.5" thickTop="1" thickBot="1" x14ac:dyDescent="0.35">
      <c r="A4" s="191" t="s">
        <v>13</v>
      </c>
      <c r="B4" s="192"/>
      <c r="C4" s="1">
        <v>1</v>
      </c>
      <c r="D4" s="1">
        <v>2</v>
      </c>
      <c r="E4" s="1">
        <v>3</v>
      </c>
      <c r="F4" s="1">
        <v>4</v>
      </c>
      <c r="G4" s="1">
        <v>5</v>
      </c>
      <c r="H4" s="1">
        <v>6</v>
      </c>
      <c r="I4" s="1">
        <v>7</v>
      </c>
      <c r="J4" s="1">
        <v>8</v>
      </c>
      <c r="K4" s="1">
        <v>9</v>
      </c>
      <c r="L4" s="1">
        <v>10</v>
      </c>
      <c r="M4" s="1">
        <v>11</v>
      </c>
      <c r="N4" s="1">
        <v>12</v>
      </c>
      <c r="O4" s="1">
        <v>13</v>
      </c>
      <c r="P4" s="1">
        <v>14</v>
      </c>
      <c r="Q4" s="1">
        <v>15</v>
      </c>
      <c r="R4" s="1">
        <v>16</v>
      </c>
      <c r="S4" s="1">
        <v>17</v>
      </c>
      <c r="T4" s="112">
        <v>18</v>
      </c>
      <c r="U4" s="112">
        <v>19</v>
      </c>
      <c r="V4" s="112">
        <v>20</v>
      </c>
      <c r="W4" s="112">
        <v>21</v>
      </c>
      <c r="X4" s="112">
        <v>22</v>
      </c>
      <c r="Y4" s="112">
        <v>23</v>
      </c>
    </row>
    <row r="5" spans="1:25" ht="21.75" thickTop="1" thickBot="1" x14ac:dyDescent="0.35">
      <c r="A5" s="2" t="s">
        <v>0</v>
      </c>
      <c r="B5" s="3" t="s">
        <v>1</v>
      </c>
      <c r="C5" s="4" t="s">
        <v>49</v>
      </c>
      <c r="D5" s="4" t="s">
        <v>50</v>
      </c>
      <c r="E5" s="4" t="s">
        <v>51</v>
      </c>
      <c r="F5" s="4" t="s">
        <v>52</v>
      </c>
      <c r="G5" s="4" t="s">
        <v>48</v>
      </c>
      <c r="H5" s="4" t="s">
        <v>47</v>
      </c>
      <c r="I5" s="4" t="s">
        <v>46</v>
      </c>
      <c r="J5" s="4" t="s">
        <v>45</v>
      </c>
      <c r="K5" s="4" t="s">
        <v>53</v>
      </c>
      <c r="L5" s="4" t="s">
        <v>54</v>
      </c>
      <c r="M5" s="4" t="s">
        <v>61</v>
      </c>
      <c r="N5" s="4" t="s">
        <v>60</v>
      </c>
      <c r="O5" s="4" t="s">
        <v>59</v>
      </c>
      <c r="P5" s="4" t="s">
        <v>58</v>
      </c>
      <c r="Q5" s="4" t="s">
        <v>57</v>
      </c>
      <c r="R5" s="4" t="s">
        <v>56</v>
      </c>
      <c r="S5" s="4" t="s">
        <v>55</v>
      </c>
      <c r="T5" s="114"/>
      <c r="U5" s="114"/>
      <c r="V5" s="114"/>
      <c r="W5" s="114"/>
      <c r="X5" s="114"/>
      <c r="Y5" s="114"/>
    </row>
    <row r="6" spans="1:25" s="8" customFormat="1" ht="16.149999999999999" customHeight="1" thickTop="1" thickBot="1" x14ac:dyDescent="0.3">
      <c r="A6" s="193" t="s">
        <v>2</v>
      </c>
      <c r="B6" s="115" t="s">
        <v>10</v>
      </c>
      <c r="C6" s="65"/>
      <c r="D6" s="66"/>
      <c r="E6" s="66"/>
      <c r="F6" s="66"/>
      <c r="G6" s="66"/>
      <c r="H6" s="66"/>
      <c r="I6" s="66"/>
      <c r="J6" s="152"/>
      <c r="K6" s="152"/>
      <c r="L6" s="152"/>
      <c r="M6" s="152"/>
      <c r="N6" s="152"/>
      <c r="O6" s="152"/>
      <c r="P6" s="152"/>
      <c r="Q6" s="152"/>
      <c r="R6" s="66"/>
      <c r="S6" s="66"/>
      <c r="T6" s="67"/>
      <c r="U6" s="67"/>
      <c r="V6" s="67"/>
      <c r="W6" s="67"/>
      <c r="X6" s="67"/>
      <c r="Y6" s="67"/>
    </row>
    <row r="7" spans="1:25" s="8" customFormat="1" ht="16.149999999999999" customHeight="1" thickTop="1" thickBot="1" x14ac:dyDescent="0.3">
      <c r="A7" s="193"/>
      <c r="B7" s="116" t="s">
        <v>11</v>
      </c>
      <c r="C7" s="68"/>
      <c r="D7" s="69"/>
      <c r="E7" s="69"/>
      <c r="F7" s="69"/>
      <c r="G7" s="69"/>
      <c r="H7" s="69"/>
      <c r="I7" s="69"/>
      <c r="J7" s="170"/>
      <c r="K7" s="170"/>
      <c r="L7" s="170"/>
      <c r="M7" s="170"/>
      <c r="N7" s="170"/>
      <c r="O7" s="170"/>
      <c r="P7" s="170"/>
      <c r="Q7" s="170"/>
      <c r="R7" s="69"/>
      <c r="S7" s="69"/>
      <c r="T7" s="70"/>
      <c r="U7" s="70"/>
      <c r="V7" s="70"/>
      <c r="W7" s="70"/>
      <c r="X7" s="70"/>
      <c r="Y7" s="71"/>
    </row>
    <row r="8" spans="1:25" s="8" customFormat="1" ht="16.149999999999999" customHeight="1" thickTop="1" thickBot="1" x14ac:dyDescent="0.3">
      <c r="A8" s="193"/>
      <c r="B8" s="116" t="s">
        <v>12</v>
      </c>
      <c r="C8" s="68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3"/>
      <c r="U8" s="73"/>
      <c r="V8" s="73"/>
      <c r="W8" s="73"/>
      <c r="X8" s="73"/>
      <c r="Y8" s="71"/>
    </row>
    <row r="9" spans="1:25" s="8" customFormat="1" ht="16.149999999999999" customHeight="1" thickTop="1" thickBot="1" x14ac:dyDescent="0.3">
      <c r="A9" s="193"/>
      <c r="B9" s="116" t="s">
        <v>7</v>
      </c>
      <c r="C9" s="68"/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3"/>
      <c r="U9" s="73"/>
      <c r="V9" s="73"/>
      <c r="W9" s="73"/>
      <c r="X9" s="73"/>
      <c r="Y9" s="71"/>
    </row>
    <row r="10" spans="1:25" s="8" customFormat="1" ht="16.149999999999999" customHeight="1" thickTop="1" thickBot="1" x14ac:dyDescent="0.3">
      <c r="A10" s="193"/>
      <c r="B10" s="116" t="s">
        <v>8</v>
      </c>
      <c r="C10" s="68"/>
      <c r="D10" s="72"/>
      <c r="E10" s="72"/>
      <c r="F10" s="72" t="s">
        <v>261</v>
      </c>
      <c r="G10" s="72" t="s">
        <v>263</v>
      </c>
      <c r="H10" s="72" t="s">
        <v>263</v>
      </c>
      <c r="I10" s="72" t="s">
        <v>313</v>
      </c>
      <c r="J10" s="72" t="s">
        <v>314</v>
      </c>
      <c r="K10" s="72"/>
      <c r="L10" s="72"/>
      <c r="M10" s="72"/>
      <c r="N10" s="72"/>
      <c r="O10" s="72"/>
      <c r="P10" s="72"/>
      <c r="Q10" s="72"/>
      <c r="R10" s="72"/>
      <c r="S10" s="72"/>
      <c r="T10" s="73"/>
      <c r="U10" s="73"/>
      <c r="V10" s="73"/>
      <c r="W10" s="73"/>
      <c r="X10" s="73"/>
      <c r="Y10" s="71"/>
    </row>
    <row r="11" spans="1:25" s="8" customFormat="1" ht="16.149999999999999" customHeight="1" thickTop="1" thickBot="1" x14ac:dyDescent="0.3">
      <c r="A11" s="193"/>
      <c r="B11" s="117" t="s">
        <v>9</v>
      </c>
      <c r="C11" s="74"/>
      <c r="D11" s="75"/>
      <c r="E11" s="75"/>
      <c r="F11" s="75"/>
      <c r="G11" s="75"/>
      <c r="H11" s="72"/>
      <c r="I11" s="72" t="s">
        <v>313</v>
      </c>
      <c r="J11" s="72" t="s">
        <v>314</v>
      </c>
      <c r="K11" s="75"/>
      <c r="L11" s="75"/>
      <c r="M11" s="75"/>
      <c r="N11" s="75"/>
      <c r="O11" s="75"/>
      <c r="P11" s="75"/>
      <c r="Q11" s="75"/>
      <c r="R11" s="75"/>
      <c r="S11" s="75"/>
      <c r="T11" s="76"/>
      <c r="U11" s="76"/>
      <c r="V11" s="76"/>
      <c r="W11" s="76"/>
      <c r="X11" s="76"/>
      <c r="Y11" s="77"/>
    </row>
    <row r="12" spans="1:25" s="11" customFormat="1" ht="16.149999999999999" customHeight="1" thickTop="1" thickBot="1" x14ac:dyDescent="0.3">
      <c r="A12" s="193"/>
      <c r="B12" s="118" t="s">
        <v>14</v>
      </c>
      <c r="C12" s="78"/>
      <c r="D12" s="79"/>
      <c r="E12" s="79"/>
      <c r="F12" s="79"/>
      <c r="G12" s="79"/>
      <c r="H12" s="79"/>
      <c r="I12" s="79"/>
      <c r="J12" s="171"/>
      <c r="K12" s="171"/>
      <c r="L12" s="171"/>
      <c r="M12" s="171"/>
      <c r="N12" s="171"/>
      <c r="O12" s="171"/>
      <c r="P12" s="171"/>
      <c r="Q12" s="171"/>
      <c r="R12" s="79"/>
      <c r="S12" s="79"/>
      <c r="T12" s="80"/>
      <c r="U12" s="80"/>
      <c r="V12" s="80"/>
      <c r="W12" s="80"/>
      <c r="X12" s="80"/>
      <c r="Y12" s="81"/>
    </row>
    <row r="13" spans="1:25" s="11" customFormat="1" ht="16.149999999999999" customHeight="1" thickTop="1" thickBot="1" x14ac:dyDescent="0.3">
      <c r="A13" s="194" t="s">
        <v>3</v>
      </c>
      <c r="B13" s="97" t="s">
        <v>10</v>
      </c>
      <c r="C13" s="82"/>
      <c r="D13" s="83"/>
      <c r="E13" s="83"/>
      <c r="F13" s="83"/>
      <c r="G13" s="83"/>
      <c r="H13" s="83"/>
      <c r="I13" s="83"/>
      <c r="J13" s="147"/>
      <c r="K13" s="147"/>
      <c r="L13" s="147"/>
      <c r="M13" s="147"/>
      <c r="N13" s="147"/>
      <c r="O13" s="147"/>
      <c r="P13" s="147"/>
      <c r="Q13" s="147"/>
      <c r="R13" s="83"/>
      <c r="S13" s="83"/>
      <c r="T13" s="84"/>
      <c r="U13" s="84"/>
      <c r="V13" s="84"/>
      <c r="W13" s="84"/>
      <c r="X13" s="84"/>
      <c r="Y13" s="85"/>
    </row>
    <row r="14" spans="1:25" s="11" customFormat="1" ht="16.5" thickTop="1" thickBot="1" x14ac:dyDescent="0.3">
      <c r="A14" s="194"/>
      <c r="B14" s="119" t="s">
        <v>11</v>
      </c>
      <c r="C14" s="86"/>
      <c r="D14" s="87"/>
      <c r="E14" s="87"/>
      <c r="F14" s="87"/>
      <c r="G14" s="87"/>
      <c r="H14" s="87"/>
      <c r="I14" s="87"/>
      <c r="J14" s="90"/>
      <c r="K14" s="90"/>
      <c r="L14" s="90"/>
      <c r="M14" s="90"/>
      <c r="N14" s="90"/>
      <c r="O14" s="90"/>
      <c r="P14" s="90"/>
      <c r="Q14" s="90"/>
      <c r="R14" s="87"/>
      <c r="S14" s="87"/>
      <c r="T14" s="88"/>
      <c r="U14" s="88"/>
      <c r="V14" s="88"/>
      <c r="W14" s="88"/>
      <c r="X14" s="88"/>
      <c r="Y14" s="71"/>
    </row>
    <row r="15" spans="1:25" s="11" customFormat="1" ht="16.5" thickTop="1" thickBot="1" x14ac:dyDescent="0.3">
      <c r="A15" s="194"/>
      <c r="B15" s="119" t="s">
        <v>12</v>
      </c>
      <c r="C15" s="89"/>
      <c r="D15" s="90"/>
      <c r="E15" s="90"/>
      <c r="F15" s="90" t="s">
        <v>260</v>
      </c>
      <c r="G15" s="90" t="s">
        <v>264</v>
      </c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73"/>
      <c r="U15" s="73"/>
      <c r="V15" s="73"/>
      <c r="W15" s="73"/>
      <c r="X15" s="73"/>
      <c r="Y15" s="71"/>
    </row>
    <row r="16" spans="1:25" s="11" customFormat="1" ht="16.149999999999999" customHeight="1" thickTop="1" thickBot="1" x14ac:dyDescent="0.3">
      <c r="A16" s="194"/>
      <c r="B16" s="119" t="s">
        <v>7</v>
      </c>
      <c r="C16" s="86"/>
      <c r="D16" s="87"/>
      <c r="E16" s="87"/>
      <c r="F16" s="87"/>
      <c r="G16" s="87"/>
      <c r="H16" s="87"/>
      <c r="I16" s="87"/>
      <c r="J16" s="90"/>
      <c r="K16" s="90"/>
      <c r="L16" s="90"/>
      <c r="M16" s="90"/>
      <c r="N16" s="90"/>
      <c r="O16" s="90"/>
      <c r="P16" s="90"/>
      <c r="Q16" s="90"/>
      <c r="R16" s="87"/>
      <c r="S16" s="87"/>
      <c r="T16" s="88"/>
      <c r="U16" s="88"/>
      <c r="V16" s="88"/>
      <c r="W16" s="88"/>
      <c r="X16" s="88"/>
      <c r="Y16" s="71"/>
    </row>
    <row r="17" spans="1:25" s="11" customFormat="1" ht="31.5" thickTop="1" thickBot="1" x14ac:dyDescent="0.3">
      <c r="A17" s="194"/>
      <c r="B17" s="119" t="s">
        <v>8</v>
      </c>
      <c r="C17" s="86"/>
      <c r="D17" s="87"/>
      <c r="E17" s="87"/>
      <c r="F17" s="87" t="s">
        <v>262</v>
      </c>
      <c r="G17" s="87" t="s">
        <v>265</v>
      </c>
      <c r="H17" s="90" t="s">
        <v>270</v>
      </c>
      <c r="I17" s="90" t="s">
        <v>220</v>
      </c>
      <c r="J17" s="90" t="s">
        <v>220</v>
      </c>
      <c r="K17" s="90" t="s">
        <v>220</v>
      </c>
      <c r="L17" s="90" t="s">
        <v>220</v>
      </c>
      <c r="M17" s="90" t="s">
        <v>220</v>
      </c>
      <c r="N17" s="90"/>
      <c r="O17" s="90"/>
      <c r="P17" s="90"/>
      <c r="Q17" s="90"/>
      <c r="R17" s="87"/>
      <c r="S17" s="87"/>
      <c r="T17" s="88"/>
      <c r="U17" s="88"/>
      <c r="V17" s="88"/>
      <c r="W17" s="88"/>
      <c r="X17" s="88"/>
      <c r="Y17" s="71"/>
    </row>
    <row r="18" spans="1:25" s="8" customFormat="1" ht="16.149999999999999" customHeight="1" thickTop="1" thickBot="1" x14ac:dyDescent="0.3">
      <c r="A18" s="194"/>
      <c r="B18" s="120" t="s">
        <v>9</v>
      </c>
      <c r="C18" s="86"/>
      <c r="D18" s="91"/>
      <c r="E18" s="91"/>
      <c r="F18" s="91"/>
      <c r="G18" s="91"/>
      <c r="H18" s="91"/>
      <c r="I18" s="91"/>
      <c r="J18" s="172"/>
      <c r="K18" s="172"/>
      <c r="L18" s="172"/>
      <c r="M18" s="172"/>
      <c r="N18" s="172"/>
      <c r="O18" s="172"/>
      <c r="P18" s="172"/>
      <c r="Q18" s="172"/>
      <c r="R18" s="91"/>
      <c r="S18" s="91"/>
      <c r="T18" s="92"/>
      <c r="U18" s="92"/>
      <c r="V18" s="92"/>
      <c r="W18" s="92"/>
      <c r="X18" s="92"/>
      <c r="Y18" s="77"/>
    </row>
    <row r="19" spans="1:25" s="8" customFormat="1" ht="16.149999999999999" customHeight="1" thickTop="1" thickBot="1" x14ac:dyDescent="0.3">
      <c r="A19" s="194"/>
      <c r="B19" s="121" t="s">
        <v>14</v>
      </c>
      <c r="C19" s="93"/>
      <c r="D19" s="94"/>
      <c r="E19" s="94"/>
      <c r="F19" s="94"/>
      <c r="G19" s="94"/>
      <c r="H19" s="94"/>
      <c r="I19" s="94"/>
      <c r="J19" s="173"/>
      <c r="K19" s="173"/>
      <c r="L19" s="173"/>
      <c r="M19" s="173"/>
      <c r="N19" s="173"/>
      <c r="O19" s="173"/>
      <c r="P19" s="173"/>
      <c r="Q19" s="173"/>
      <c r="R19" s="94"/>
      <c r="S19" s="94"/>
      <c r="T19" s="80"/>
      <c r="U19" s="80"/>
      <c r="V19" s="80"/>
      <c r="W19" s="80"/>
      <c r="X19" s="80"/>
      <c r="Y19" s="81"/>
    </row>
    <row r="20" spans="1:25" s="8" customFormat="1" ht="16.149999999999999" customHeight="1" thickTop="1" thickBot="1" x14ac:dyDescent="0.3">
      <c r="A20" s="193" t="s">
        <v>4</v>
      </c>
      <c r="B20" s="115" t="s">
        <v>10</v>
      </c>
      <c r="C20" s="65"/>
      <c r="D20" s="95"/>
      <c r="E20" s="95"/>
      <c r="F20" s="95"/>
      <c r="G20" s="95"/>
      <c r="H20" s="95"/>
      <c r="I20" s="95"/>
      <c r="J20" s="135"/>
      <c r="K20" s="135"/>
      <c r="L20" s="135"/>
      <c r="M20" s="135"/>
      <c r="N20" s="135"/>
      <c r="O20" s="135"/>
      <c r="P20" s="135"/>
      <c r="Q20" s="135"/>
      <c r="R20" s="95"/>
      <c r="S20" s="95"/>
      <c r="T20" s="84"/>
      <c r="U20" s="84"/>
      <c r="V20" s="84"/>
      <c r="W20" s="84"/>
      <c r="X20" s="84"/>
      <c r="Y20" s="85"/>
    </row>
    <row r="21" spans="1:25" s="8" customFormat="1" ht="16.149999999999999" customHeight="1" thickTop="1" thickBot="1" x14ac:dyDescent="0.3">
      <c r="A21" s="193"/>
      <c r="B21" s="116" t="s">
        <v>11</v>
      </c>
      <c r="C21" s="68"/>
      <c r="D21" s="96"/>
      <c r="E21" s="96"/>
      <c r="F21" s="96"/>
      <c r="G21" s="96"/>
      <c r="H21" s="96"/>
      <c r="I21" s="96"/>
      <c r="J21" s="72"/>
      <c r="K21" s="72"/>
      <c r="L21" s="72"/>
      <c r="M21" s="72"/>
      <c r="N21" s="72"/>
      <c r="O21" s="72"/>
      <c r="P21" s="72"/>
      <c r="Q21" s="72"/>
      <c r="R21" s="96"/>
      <c r="S21" s="96"/>
      <c r="T21" s="88"/>
      <c r="U21" s="88"/>
      <c r="V21" s="88"/>
      <c r="W21" s="88"/>
      <c r="X21" s="88"/>
      <c r="Y21" s="71"/>
    </row>
    <row r="22" spans="1:25" s="8" customFormat="1" ht="16.149999999999999" customHeight="1" thickTop="1" thickBot="1" x14ac:dyDescent="0.3">
      <c r="A22" s="193"/>
      <c r="B22" s="116" t="s">
        <v>12</v>
      </c>
      <c r="C22" s="68"/>
      <c r="D22" s="96"/>
      <c r="E22" s="96"/>
      <c r="F22" s="96"/>
      <c r="G22" s="96"/>
      <c r="H22" s="96"/>
      <c r="I22" s="96"/>
      <c r="J22" s="72"/>
      <c r="K22" s="72"/>
      <c r="L22" s="72"/>
      <c r="M22" s="72"/>
      <c r="N22" s="72"/>
      <c r="O22" s="72"/>
      <c r="P22" s="72"/>
      <c r="Q22" s="72"/>
      <c r="R22" s="96"/>
      <c r="S22" s="96"/>
      <c r="T22" s="88"/>
      <c r="U22" s="88"/>
      <c r="V22" s="88"/>
      <c r="W22" s="88"/>
      <c r="X22" s="88"/>
      <c r="Y22" s="71"/>
    </row>
    <row r="23" spans="1:25" s="8" customFormat="1" ht="41.45" customHeight="1" thickTop="1" thickBot="1" x14ac:dyDescent="0.3">
      <c r="A23" s="193"/>
      <c r="B23" s="116" t="s">
        <v>7</v>
      </c>
      <c r="C23" s="68"/>
      <c r="D23" s="96"/>
      <c r="E23" s="96"/>
      <c r="F23" s="72" t="s">
        <v>259</v>
      </c>
      <c r="G23" s="72" t="s">
        <v>266</v>
      </c>
      <c r="H23" s="72" t="s">
        <v>266</v>
      </c>
      <c r="I23" s="72" t="s">
        <v>271</v>
      </c>
      <c r="J23" s="72" t="s">
        <v>272</v>
      </c>
      <c r="K23" s="72"/>
      <c r="L23" s="72"/>
      <c r="M23" s="72"/>
      <c r="N23" s="72"/>
      <c r="O23" s="72"/>
      <c r="P23" s="72"/>
      <c r="Q23" s="72"/>
      <c r="R23" s="96"/>
      <c r="S23" s="96"/>
      <c r="T23" s="88"/>
      <c r="U23" s="88"/>
      <c r="V23" s="88"/>
      <c r="W23" s="88"/>
      <c r="X23" s="88"/>
      <c r="Y23" s="71"/>
    </row>
    <row r="24" spans="1:25" s="8" customFormat="1" ht="16.149999999999999" customHeight="1" thickTop="1" thickBot="1" x14ac:dyDescent="0.3">
      <c r="A24" s="193"/>
      <c r="B24" s="116" t="s">
        <v>8</v>
      </c>
      <c r="C24" s="68"/>
      <c r="D24" s="72"/>
      <c r="E24" s="72"/>
      <c r="F24" s="72"/>
      <c r="G24" s="72"/>
      <c r="H24" s="72" t="s">
        <v>267</v>
      </c>
      <c r="I24" s="72" t="s">
        <v>268</v>
      </c>
      <c r="J24" s="72" t="s">
        <v>269</v>
      </c>
      <c r="K24" s="72"/>
      <c r="L24" s="72"/>
      <c r="M24" s="72"/>
      <c r="N24" s="72"/>
      <c r="O24" s="72"/>
      <c r="P24" s="72"/>
      <c r="Q24" s="72"/>
      <c r="R24" s="72"/>
      <c r="S24" s="72"/>
      <c r="T24" s="73"/>
      <c r="U24" s="73"/>
      <c r="V24" s="73"/>
      <c r="W24" s="73"/>
      <c r="X24" s="73"/>
      <c r="Y24" s="71"/>
    </row>
    <row r="25" spans="1:25" s="11" customFormat="1" ht="16.149999999999999" customHeight="1" thickTop="1" thickBot="1" x14ac:dyDescent="0.3">
      <c r="A25" s="193"/>
      <c r="B25" s="116" t="s">
        <v>9</v>
      </c>
      <c r="C25" s="68"/>
      <c r="D25" s="96"/>
      <c r="E25" s="96"/>
      <c r="F25" s="96"/>
      <c r="G25" s="96"/>
      <c r="H25" s="96"/>
      <c r="I25" s="96"/>
      <c r="J25" s="72"/>
      <c r="K25" s="72"/>
      <c r="L25" s="72"/>
      <c r="M25" s="72"/>
      <c r="N25" s="72"/>
      <c r="O25" s="72"/>
      <c r="P25" s="72"/>
      <c r="Q25" s="72"/>
      <c r="R25" s="96"/>
      <c r="S25" s="96"/>
      <c r="T25" s="88"/>
      <c r="U25" s="88"/>
      <c r="V25" s="88"/>
      <c r="W25" s="88"/>
      <c r="X25" s="88"/>
      <c r="Y25" s="71"/>
    </row>
    <row r="26" spans="1:25" s="11" customFormat="1" ht="16.149999999999999" customHeight="1" thickTop="1" thickBot="1" x14ac:dyDescent="0.3">
      <c r="A26" s="193"/>
      <c r="B26" s="118" t="s">
        <v>14</v>
      </c>
      <c r="C26" s="78"/>
      <c r="D26" s="79"/>
      <c r="E26" s="79"/>
      <c r="F26" s="79"/>
      <c r="G26" s="79"/>
      <c r="H26" s="79"/>
      <c r="I26" s="79"/>
      <c r="J26" s="171"/>
      <c r="K26" s="171"/>
      <c r="L26" s="171"/>
      <c r="M26" s="171"/>
      <c r="N26" s="171"/>
      <c r="O26" s="171"/>
      <c r="P26" s="171"/>
      <c r="Q26" s="171"/>
      <c r="R26" s="79"/>
      <c r="S26" s="79"/>
      <c r="T26" s="80"/>
      <c r="U26" s="80"/>
      <c r="V26" s="80"/>
      <c r="W26" s="80"/>
      <c r="X26" s="80"/>
      <c r="Y26" s="81"/>
    </row>
    <row r="27" spans="1:25" s="11" customFormat="1" ht="16.149999999999999" customHeight="1" thickTop="1" thickBot="1" x14ac:dyDescent="0.3">
      <c r="A27" s="194" t="s">
        <v>5</v>
      </c>
      <c r="B27" s="97" t="s">
        <v>10</v>
      </c>
      <c r="C27" s="97"/>
      <c r="D27" s="98"/>
      <c r="E27" s="98"/>
      <c r="F27" s="98"/>
      <c r="G27" s="98"/>
      <c r="H27" s="83" t="s">
        <v>274</v>
      </c>
      <c r="I27" s="83" t="s">
        <v>327</v>
      </c>
      <c r="J27" s="147" t="s">
        <v>327</v>
      </c>
      <c r="K27" s="153"/>
      <c r="L27" s="153"/>
      <c r="M27" s="153"/>
      <c r="N27" s="153"/>
      <c r="O27" s="153"/>
      <c r="P27" s="153"/>
      <c r="Q27" s="153"/>
      <c r="R27" s="98"/>
      <c r="S27" s="98"/>
      <c r="T27" s="67"/>
      <c r="U27" s="67"/>
      <c r="V27" s="67"/>
      <c r="W27" s="67"/>
      <c r="X27" s="67"/>
      <c r="Y27" s="85"/>
    </row>
    <row r="28" spans="1:25" s="11" customFormat="1" ht="16.149999999999999" customHeight="1" thickTop="1" thickBot="1" x14ac:dyDescent="0.3">
      <c r="A28" s="194"/>
      <c r="B28" s="119" t="s">
        <v>11</v>
      </c>
      <c r="C28" s="86"/>
      <c r="D28" s="87"/>
      <c r="E28" s="87"/>
      <c r="F28" s="87" t="s">
        <v>234</v>
      </c>
      <c r="G28" s="87" t="s">
        <v>234</v>
      </c>
      <c r="H28" s="87" t="s">
        <v>234</v>
      </c>
      <c r="I28" s="87" t="s">
        <v>234</v>
      </c>
      <c r="J28" s="90" t="s">
        <v>234</v>
      </c>
      <c r="K28" s="90"/>
      <c r="L28" s="90"/>
      <c r="M28" s="90"/>
      <c r="N28" s="90"/>
      <c r="O28" s="90"/>
      <c r="P28" s="90"/>
      <c r="Q28" s="90"/>
      <c r="R28" s="87"/>
      <c r="S28" s="87"/>
      <c r="T28" s="88"/>
      <c r="U28" s="88"/>
      <c r="V28" s="88"/>
      <c r="W28" s="88"/>
      <c r="X28" s="88"/>
      <c r="Y28" s="71"/>
    </row>
    <row r="29" spans="1:25" s="11" customFormat="1" ht="31.5" thickTop="1" thickBot="1" x14ac:dyDescent="0.3">
      <c r="A29" s="194"/>
      <c r="B29" s="119" t="s">
        <v>12</v>
      </c>
      <c r="C29" s="86"/>
      <c r="D29" s="87"/>
      <c r="E29" s="87"/>
      <c r="F29" s="87" t="s">
        <v>235</v>
      </c>
      <c r="G29" s="87" t="s">
        <v>273</v>
      </c>
      <c r="H29" s="87" t="s">
        <v>235</v>
      </c>
      <c r="I29" s="87" t="s">
        <v>235</v>
      </c>
      <c r="J29" s="90" t="s">
        <v>350</v>
      </c>
      <c r="K29" s="90"/>
      <c r="L29" s="90"/>
      <c r="M29" s="90"/>
      <c r="N29" s="90"/>
      <c r="O29" s="90"/>
      <c r="P29" s="90"/>
      <c r="Q29" s="90"/>
      <c r="R29" s="87"/>
      <c r="S29" s="87"/>
      <c r="T29" s="88"/>
      <c r="U29" s="88"/>
      <c r="V29" s="88"/>
      <c r="W29" s="88"/>
      <c r="X29" s="88"/>
      <c r="Y29" s="71"/>
    </row>
    <row r="30" spans="1:25" s="11" customFormat="1" ht="31.5" thickTop="1" thickBot="1" x14ac:dyDescent="0.3">
      <c r="A30" s="194"/>
      <c r="B30" s="119" t="s">
        <v>7</v>
      </c>
      <c r="C30" s="99"/>
      <c r="D30" s="90"/>
      <c r="E30" s="90"/>
      <c r="F30" s="90" t="s">
        <v>236</v>
      </c>
      <c r="G30" s="90" t="s">
        <v>236</v>
      </c>
      <c r="H30" s="90" t="s">
        <v>236</v>
      </c>
      <c r="I30" s="90" t="s">
        <v>236</v>
      </c>
      <c r="J30" s="90" t="s">
        <v>351</v>
      </c>
      <c r="K30" s="90" t="s">
        <v>345</v>
      </c>
      <c r="L30" s="90" t="s">
        <v>345</v>
      </c>
      <c r="M30" s="90" t="s">
        <v>345</v>
      </c>
      <c r="N30" s="90" t="s">
        <v>345</v>
      </c>
      <c r="O30" s="90" t="s">
        <v>345</v>
      </c>
      <c r="P30" s="90" t="s">
        <v>345</v>
      </c>
      <c r="Q30" s="90" t="s">
        <v>345</v>
      </c>
      <c r="R30" s="90"/>
      <c r="S30" s="90"/>
      <c r="T30" s="73"/>
      <c r="U30" s="73"/>
      <c r="V30" s="73"/>
      <c r="W30" s="73"/>
      <c r="X30" s="73"/>
      <c r="Y30" s="71"/>
    </row>
    <row r="31" spans="1:25" s="11" customFormat="1" ht="16.149999999999999" customHeight="1" thickTop="1" thickBot="1" x14ac:dyDescent="0.3">
      <c r="A31" s="194"/>
      <c r="B31" s="119" t="s">
        <v>8</v>
      </c>
      <c r="C31" s="90"/>
      <c r="D31" s="90"/>
      <c r="E31" s="90"/>
      <c r="F31" s="90" t="s">
        <v>274</v>
      </c>
      <c r="G31" s="90" t="s">
        <v>274</v>
      </c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90"/>
      <c r="S31" s="90"/>
      <c r="T31" s="73"/>
      <c r="U31" s="73"/>
      <c r="V31" s="73"/>
      <c r="W31" s="73"/>
      <c r="X31" s="73"/>
      <c r="Y31" s="100"/>
    </row>
    <row r="32" spans="1:25" s="8" customFormat="1" ht="16.149999999999999" customHeight="1" thickTop="1" thickBot="1" x14ac:dyDescent="0.3">
      <c r="A32" s="194"/>
      <c r="B32" s="120" t="s">
        <v>9</v>
      </c>
      <c r="C32" s="90"/>
      <c r="D32" s="90"/>
      <c r="E32" s="90"/>
      <c r="F32" s="90" t="s">
        <v>237</v>
      </c>
      <c r="G32" s="90" t="s">
        <v>237</v>
      </c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73"/>
      <c r="U32" s="73"/>
      <c r="V32" s="73"/>
      <c r="W32" s="73"/>
      <c r="X32" s="73"/>
      <c r="Y32" s="101"/>
    </row>
    <row r="33" spans="1:25" s="8" customFormat="1" ht="16.5" thickTop="1" thickBot="1" x14ac:dyDescent="0.3">
      <c r="A33" s="194"/>
      <c r="B33" s="121" t="s">
        <v>14</v>
      </c>
      <c r="C33" s="90"/>
      <c r="D33" s="87"/>
      <c r="E33" s="87"/>
      <c r="F33" s="87"/>
      <c r="G33" s="87"/>
      <c r="H33" s="87"/>
      <c r="I33" s="87"/>
      <c r="J33" s="90"/>
      <c r="K33" s="90"/>
      <c r="L33" s="90"/>
      <c r="M33" s="90"/>
      <c r="N33" s="90"/>
      <c r="O33" s="90"/>
      <c r="P33" s="90"/>
      <c r="Q33" s="90"/>
      <c r="R33" s="87"/>
      <c r="S33" s="87"/>
      <c r="T33" s="88"/>
      <c r="U33" s="88"/>
      <c r="V33" s="88"/>
      <c r="W33" s="88"/>
      <c r="X33" s="88"/>
      <c r="Y33" s="81"/>
    </row>
    <row r="34" spans="1:25" s="8" customFormat="1" ht="16.149999999999999" customHeight="1" thickTop="1" thickBot="1" x14ac:dyDescent="0.3">
      <c r="A34" s="188" t="s">
        <v>6</v>
      </c>
      <c r="B34" s="115" t="s">
        <v>10</v>
      </c>
      <c r="C34" s="95"/>
      <c r="D34" s="95"/>
      <c r="E34" s="95"/>
      <c r="F34" s="95"/>
      <c r="G34" s="95"/>
      <c r="H34" s="95"/>
      <c r="I34" s="95"/>
      <c r="J34" s="135"/>
      <c r="K34" s="135"/>
      <c r="L34" s="135"/>
      <c r="M34" s="135"/>
      <c r="N34" s="135"/>
      <c r="O34" s="135"/>
      <c r="P34" s="135"/>
      <c r="Q34" s="135"/>
      <c r="R34" s="95"/>
      <c r="S34" s="95"/>
      <c r="T34" s="84"/>
      <c r="U34" s="84"/>
      <c r="V34" s="84"/>
      <c r="W34" s="84"/>
      <c r="X34" s="84"/>
      <c r="Y34" s="85"/>
    </row>
    <row r="35" spans="1:25" s="8" customFormat="1" ht="16.149999999999999" customHeight="1" thickTop="1" thickBot="1" x14ac:dyDescent="0.3">
      <c r="A35" s="188"/>
      <c r="B35" s="116" t="s">
        <v>11</v>
      </c>
      <c r="C35" s="96"/>
      <c r="D35" s="96"/>
      <c r="E35" s="96"/>
      <c r="F35" s="96"/>
      <c r="G35" s="96"/>
      <c r="H35" s="96"/>
      <c r="I35" s="96"/>
      <c r="J35" s="72"/>
      <c r="K35" s="72"/>
      <c r="L35" s="72"/>
      <c r="M35" s="72"/>
      <c r="N35" s="72"/>
      <c r="O35" s="72"/>
      <c r="P35" s="72"/>
      <c r="Q35" s="72"/>
      <c r="R35" s="96"/>
      <c r="S35" s="96"/>
      <c r="T35" s="88"/>
      <c r="U35" s="88"/>
      <c r="V35" s="88"/>
      <c r="W35" s="88"/>
      <c r="X35" s="88"/>
      <c r="Y35" s="71"/>
    </row>
    <row r="36" spans="1:25" s="8" customFormat="1" ht="16.149999999999999" customHeight="1" thickTop="1" thickBot="1" x14ac:dyDescent="0.3">
      <c r="A36" s="188"/>
      <c r="B36" s="116" t="s">
        <v>12</v>
      </c>
      <c r="C36" s="69"/>
      <c r="D36" s="69"/>
      <c r="E36" s="69"/>
      <c r="F36" s="96" t="s">
        <v>238</v>
      </c>
      <c r="G36" s="96" t="s">
        <v>238</v>
      </c>
      <c r="H36" s="96" t="s">
        <v>238</v>
      </c>
      <c r="I36" s="96" t="s">
        <v>238</v>
      </c>
      <c r="J36" s="72" t="s">
        <v>238</v>
      </c>
      <c r="K36" s="170"/>
      <c r="L36" s="170"/>
      <c r="M36" s="170"/>
      <c r="N36" s="170"/>
      <c r="O36" s="170"/>
      <c r="P36" s="170"/>
      <c r="Q36" s="170"/>
      <c r="R36" s="69"/>
      <c r="S36" s="69"/>
      <c r="T36" s="70"/>
      <c r="U36" s="70"/>
      <c r="V36" s="70"/>
      <c r="W36" s="70"/>
      <c r="X36" s="70"/>
      <c r="Y36" s="71"/>
    </row>
    <row r="37" spans="1:25" ht="16.149999999999999" customHeight="1" thickTop="1" thickBot="1" x14ac:dyDescent="0.3">
      <c r="A37" s="188"/>
      <c r="B37" s="116" t="s">
        <v>7</v>
      </c>
      <c r="C37" s="72"/>
      <c r="D37" s="72"/>
      <c r="E37" s="72"/>
      <c r="F37" s="96" t="s">
        <v>238</v>
      </c>
      <c r="G37" s="96" t="s">
        <v>238</v>
      </c>
      <c r="H37" s="96" t="s">
        <v>238</v>
      </c>
      <c r="I37" s="96" t="s">
        <v>238</v>
      </c>
      <c r="J37" s="72" t="s">
        <v>238</v>
      </c>
      <c r="K37" s="72"/>
      <c r="L37" s="72"/>
      <c r="M37" s="72"/>
      <c r="N37" s="72"/>
      <c r="O37" s="72"/>
      <c r="P37" s="72"/>
      <c r="Q37" s="72"/>
      <c r="R37" s="72"/>
      <c r="S37" s="72"/>
      <c r="T37" s="73"/>
      <c r="U37" s="73"/>
      <c r="V37" s="73"/>
      <c r="W37" s="73"/>
      <c r="X37" s="73"/>
      <c r="Y37" s="100"/>
    </row>
    <row r="38" spans="1:25" ht="16.149999999999999" customHeight="1" thickTop="1" thickBot="1" x14ac:dyDescent="0.3">
      <c r="A38" s="188"/>
      <c r="B38" s="116" t="s">
        <v>8</v>
      </c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3"/>
      <c r="U38" s="73"/>
      <c r="V38" s="73"/>
      <c r="W38" s="73"/>
      <c r="X38" s="73"/>
      <c r="Y38" s="71"/>
    </row>
    <row r="39" spans="1:25" ht="16.149999999999999" customHeight="1" thickTop="1" thickBot="1" x14ac:dyDescent="0.3">
      <c r="A39" s="188"/>
      <c r="B39" s="117" t="s">
        <v>9</v>
      </c>
      <c r="C39" s="75"/>
      <c r="D39" s="75"/>
      <c r="E39" s="75"/>
      <c r="F39" s="75" t="s">
        <v>220</v>
      </c>
      <c r="G39" s="75" t="s">
        <v>220</v>
      </c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6"/>
      <c r="U39" s="76"/>
      <c r="V39" s="76"/>
      <c r="W39" s="76"/>
      <c r="X39" s="76"/>
      <c r="Y39" s="77"/>
    </row>
    <row r="40" spans="1:25" ht="16.149999999999999" customHeight="1" thickTop="1" thickBot="1" x14ac:dyDescent="0.3">
      <c r="A40" s="188"/>
      <c r="B40" s="118" t="s">
        <v>14</v>
      </c>
      <c r="C40" s="102"/>
      <c r="D40" s="103"/>
      <c r="E40" s="103"/>
      <c r="F40" s="103"/>
      <c r="G40" s="103"/>
      <c r="H40" s="103"/>
      <c r="I40" s="103"/>
      <c r="J40" s="174"/>
      <c r="K40" s="174"/>
      <c r="L40" s="174"/>
      <c r="M40" s="174"/>
      <c r="N40" s="174"/>
      <c r="O40" s="174"/>
      <c r="P40" s="174"/>
      <c r="Q40" s="174"/>
      <c r="R40" s="103"/>
      <c r="S40" s="103"/>
      <c r="T40" s="104"/>
      <c r="U40" s="104"/>
      <c r="V40" s="104"/>
      <c r="W40" s="104"/>
      <c r="X40" s="104"/>
      <c r="Y40" s="105"/>
    </row>
    <row r="41" spans="1:25" ht="16.149999999999999" customHeight="1" thickTop="1" thickBot="1" x14ac:dyDescent="0.3">
      <c r="A41" s="188" t="s">
        <v>24</v>
      </c>
      <c r="B41" s="106" t="s">
        <v>10</v>
      </c>
      <c r="C41" s="106"/>
      <c r="D41" s="106"/>
      <c r="E41" s="95"/>
      <c r="F41" s="95"/>
      <c r="G41" s="95"/>
      <c r="H41" s="95"/>
      <c r="I41" s="95"/>
      <c r="J41" s="135"/>
      <c r="K41" s="135"/>
      <c r="L41" s="135"/>
      <c r="M41" s="135"/>
      <c r="N41" s="135"/>
      <c r="O41" s="135"/>
      <c r="P41" s="135"/>
      <c r="Q41" s="135"/>
      <c r="R41" s="95"/>
      <c r="S41" s="95"/>
      <c r="T41" s="84"/>
      <c r="U41" s="84"/>
      <c r="V41" s="84"/>
      <c r="W41" s="84"/>
      <c r="X41" s="84"/>
      <c r="Y41" s="84"/>
    </row>
    <row r="42" spans="1:25" ht="16.149999999999999" customHeight="1" thickTop="1" thickBot="1" x14ac:dyDescent="0.3">
      <c r="A42" s="188"/>
      <c r="B42" s="107" t="s">
        <v>11</v>
      </c>
      <c r="C42" s="107"/>
      <c r="D42" s="107"/>
      <c r="E42" s="96"/>
      <c r="F42" s="96"/>
      <c r="G42" s="96"/>
      <c r="H42" s="96"/>
      <c r="I42" s="96"/>
      <c r="J42" s="72"/>
      <c r="K42" s="72"/>
      <c r="L42" s="72"/>
      <c r="M42" s="72"/>
      <c r="N42" s="72"/>
      <c r="O42" s="72"/>
      <c r="P42" s="72"/>
      <c r="Q42" s="72"/>
      <c r="R42" s="96"/>
      <c r="S42" s="96"/>
      <c r="T42" s="88"/>
      <c r="U42" s="88"/>
      <c r="V42" s="88"/>
      <c r="W42" s="88"/>
      <c r="X42" s="88"/>
      <c r="Y42" s="88"/>
    </row>
    <row r="43" spans="1:25" ht="16.149999999999999" customHeight="1" thickTop="1" thickBot="1" x14ac:dyDescent="0.3">
      <c r="A43" s="188"/>
      <c r="B43" s="108" t="s">
        <v>12</v>
      </c>
      <c r="C43" s="108"/>
      <c r="D43" s="108"/>
      <c r="E43" s="69"/>
      <c r="F43" s="69"/>
      <c r="G43" s="69"/>
      <c r="H43" s="69"/>
      <c r="I43" s="69"/>
      <c r="J43" s="170"/>
      <c r="K43" s="170"/>
      <c r="L43" s="170"/>
      <c r="M43" s="170"/>
      <c r="N43" s="170"/>
      <c r="O43" s="170"/>
      <c r="P43" s="170"/>
      <c r="Q43" s="170"/>
      <c r="R43" s="69"/>
      <c r="S43" s="69"/>
      <c r="T43" s="70"/>
      <c r="U43" s="70"/>
      <c r="V43" s="70"/>
      <c r="W43" s="70"/>
      <c r="X43" s="70"/>
      <c r="Y43" s="70"/>
    </row>
    <row r="44" spans="1:25" ht="16.5" thickTop="1" thickBot="1" x14ac:dyDescent="0.3">
      <c r="A44" s="188"/>
      <c r="B44" s="109" t="s">
        <v>7</v>
      </c>
      <c r="C44" s="109"/>
      <c r="D44" s="109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3"/>
      <c r="U44" s="73"/>
      <c r="V44" s="73"/>
      <c r="W44" s="73"/>
      <c r="X44" s="73"/>
      <c r="Y44" s="73"/>
    </row>
    <row r="45" spans="1:25" ht="16.5" thickTop="1" thickBot="1" x14ac:dyDescent="0.3">
      <c r="A45" s="188"/>
      <c r="B45" s="109" t="s">
        <v>8</v>
      </c>
      <c r="C45" s="109"/>
      <c r="D45" s="109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3"/>
      <c r="U45" s="73"/>
      <c r="V45" s="73"/>
      <c r="W45" s="73"/>
      <c r="X45" s="73"/>
      <c r="Y45" s="73"/>
    </row>
    <row r="46" spans="1:25" ht="16.5" thickTop="1" thickBot="1" x14ac:dyDescent="0.3">
      <c r="A46" s="188"/>
      <c r="B46" s="110" t="s">
        <v>9</v>
      </c>
      <c r="C46" s="110"/>
      <c r="D46" s="110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5"/>
      <c r="S46" s="75"/>
      <c r="T46" s="76"/>
      <c r="U46" s="76"/>
      <c r="V46" s="76"/>
      <c r="W46" s="76"/>
      <c r="X46" s="76"/>
      <c r="Y46" s="76"/>
    </row>
    <row r="47" spans="1:25" ht="16.5" thickTop="1" thickBot="1" x14ac:dyDescent="0.3">
      <c r="A47" s="188"/>
      <c r="B47" s="118" t="s">
        <v>14</v>
      </c>
      <c r="C47" s="111"/>
      <c r="D47" s="111"/>
      <c r="E47" s="103"/>
      <c r="F47" s="103"/>
      <c r="G47" s="103"/>
      <c r="H47" s="103"/>
      <c r="I47" s="103"/>
      <c r="J47" s="174"/>
      <c r="K47" s="174"/>
      <c r="L47" s="174"/>
      <c r="M47" s="174"/>
      <c r="N47" s="174"/>
      <c r="O47" s="174"/>
      <c r="P47" s="174"/>
      <c r="Q47" s="174"/>
      <c r="R47" s="103"/>
      <c r="S47" s="103"/>
      <c r="T47" s="104"/>
      <c r="U47" s="104"/>
      <c r="V47" s="104"/>
      <c r="W47" s="104"/>
      <c r="X47" s="104"/>
      <c r="Y47" s="104"/>
    </row>
    <row r="48" spans="1:25" ht="15.75" thickTop="1" x14ac:dyDescent="0.25"/>
    <row r="49" spans="1:5" x14ac:dyDescent="0.25">
      <c r="A49" t="s">
        <v>42</v>
      </c>
      <c r="B49" s="122" t="s">
        <v>43</v>
      </c>
    </row>
    <row r="50" spans="1:5" x14ac:dyDescent="0.25">
      <c r="A50" s="146" t="s">
        <v>162</v>
      </c>
      <c r="B50" s="139" t="s">
        <v>101</v>
      </c>
      <c r="E50" s="125"/>
    </row>
    <row r="51" spans="1:5" x14ac:dyDescent="0.25">
      <c r="A51" s="145" t="s">
        <v>162</v>
      </c>
      <c r="B51" s="139" t="s">
        <v>102</v>
      </c>
      <c r="E51" s="125"/>
    </row>
    <row r="52" spans="1:5" x14ac:dyDescent="0.25">
      <c r="A52" s="145" t="s">
        <v>233</v>
      </c>
      <c r="B52" s="139" t="s">
        <v>103</v>
      </c>
      <c r="E52" s="125"/>
    </row>
    <row r="53" spans="1:5" x14ac:dyDescent="0.25">
      <c r="A53" s="145" t="s">
        <v>163</v>
      </c>
      <c r="B53" s="139" t="s">
        <v>193</v>
      </c>
      <c r="E53" s="125"/>
    </row>
    <row r="54" spans="1:5" x14ac:dyDescent="0.25">
      <c r="A54" s="145" t="s">
        <v>163</v>
      </c>
      <c r="B54" s="139" t="s">
        <v>150</v>
      </c>
      <c r="E54" s="125"/>
    </row>
    <row r="55" spans="1:5" x14ac:dyDescent="0.25">
      <c r="A55" s="169" t="s">
        <v>146</v>
      </c>
      <c r="B55" s="139" t="s">
        <v>151</v>
      </c>
      <c r="E55" s="125"/>
    </row>
    <row r="56" spans="1:5" x14ac:dyDescent="0.25">
      <c r="A56" s="128"/>
      <c r="B56" s="129"/>
      <c r="E56" s="125"/>
    </row>
    <row r="57" spans="1:5" x14ac:dyDescent="0.25">
      <c r="A57" s="128"/>
      <c r="B57" s="129"/>
      <c r="E57" s="125"/>
    </row>
    <row r="58" spans="1:5" x14ac:dyDescent="0.25">
      <c r="A58" s="128"/>
      <c r="B58" s="129"/>
      <c r="E58" s="125"/>
    </row>
    <row r="59" spans="1:5" x14ac:dyDescent="0.25">
      <c r="A59" s="128"/>
      <c r="B59" s="129"/>
      <c r="E59" s="125"/>
    </row>
    <row r="60" spans="1:5" x14ac:dyDescent="0.25">
      <c r="A60" s="128"/>
      <c r="B60" s="129"/>
      <c r="E60" s="125"/>
    </row>
    <row r="61" spans="1:5" x14ac:dyDescent="0.25">
      <c r="A61" s="128"/>
      <c r="B61" s="129"/>
      <c r="E61" s="125"/>
    </row>
    <row r="62" spans="1:5" x14ac:dyDescent="0.25">
      <c r="A62" s="128"/>
      <c r="B62" s="129"/>
      <c r="E62" s="125"/>
    </row>
    <row r="63" spans="1:5" x14ac:dyDescent="0.25">
      <c r="A63" s="128"/>
      <c r="B63" s="129"/>
      <c r="E63" s="125"/>
    </row>
    <row r="64" spans="1:5" x14ac:dyDescent="0.25">
      <c r="A64" s="128"/>
      <c r="B64" s="129"/>
      <c r="E64" s="125"/>
    </row>
    <row r="65" spans="1:5" x14ac:dyDescent="0.25">
      <c r="A65" s="128"/>
      <c r="B65" s="129"/>
      <c r="E65" s="125"/>
    </row>
    <row r="66" spans="1:5" x14ac:dyDescent="0.25">
      <c r="A66" s="128"/>
      <c r="B66" s="129"/>
      <c r="E66" s="125"/>
    </row>
    <row r="67" spans="1:5" x14ac:dyDescent="0.25">
      <c r="A67" s="128"/>
      <c r="B67" s="129"/>
      <c r="E67" s="125"/>
    </row>
    <row r="68" spans="1:5" x14ac:dyDescent="0.25">
      <c r="A68" s="128"/>
      <c r="B68" s="129"/>
    </row>
    <row r="69" spans="1:5" x14ac:dyDescent="0.25">
      <c r="A69" s="128"/>
      <c r="B69" s="129"/>
    </row>
    <row r="70" spans="1:5" x14ac:dyDescent="0.25">
      <c r="A70" s="130"/>
      <c r="B70" s="131"/>
    </row>
  </sheetData>
  <mergeCells count="8">
    <mergeCell ref="A27:A33"/>
    <mergeCell ref="A34:A40"/>
    <mergeCell ref="A41:A47"/>
    <mergeCell ref="A1:I3"/>
    <mergeCell ref="A4:B4"/>
    <mergeCell ref="A6:A12"/>
    <mergeCell ref="A13:A19"/>
    <mergeCell ref="A20:A26"/>
  </mergeCells>
  <conditionalFormatting sqref="D6:Y6">
    <cfRule type="containsText" dxfId="39" priority="13" operator="containsText" text=" Анікєєв">
      <formula>NOT(ISERROR(SEARCH(" Анікєєв",D6)))</formula>
    </cfRule>
  </conditionalFormatting>
  <conditionalFormatting sqref="D7:X7">
    <cfRule type="containsText" dxfId="38" priority="12" operator="containsText" text=" Анікєєв">
      <formula>NOT(ISERROR(SEARCH(" Анікєєв",D7)))</formula>
    </cfRule>
  </conditionalFormatting>
  <conditionalFormatting sqref="D8:X8">
    <cfRule type="containsText" dxfId="37" priority="11" operator="containsText" text=" Анікєєв">
      <formula>NOT(ISERROR(SEARCH(" Анікєєв",D8)))</formula>
    </cfRule>
  </conditionalFormatting>
  <conditionalFormatting sqref="D9:X9">
    <cfRule type="containsText" dxfId="36" priority="10" operator="containsText" text=" Анікєєв">
      <formula>NOT(ISERROR(SEARCH(" Анікєєв",D9)))</formula>
    </cfRule>
  </conditionalFormatting>
  <conditionalFormatting sqref="D10:X11">
    <cfRule type="containsText" dxfId="35" priority="9" operator="containsText" text=" Анікєєв">
      <formula>NOT(ISERROR(SEARCH(" Анікєєв",D10)))</formula>
    </cfRule>
  </conditionalFormatting>
  <conditionalFormatting sqref="D12:X12">
    <cfRule type="containsText" dxfId="34" priority="8" operator="containsText" text=" Анікєєв">
      <formula>NOT(ISERROR(SEARCH(" Анікєєв",D12)))</formula>
    </cfRule>
  </conditionalFormatting>
  <conditionalFormatting sqref="D13:X19">
    <cfRule type="containsText" dxfId="33" priority="7" operator="containsText" text=" Анікєєв">
      <formula>NOT(ISERROR(SEARCH(" Анікєєв",D13)))</formula>
    </cfRule>
  </conditionalFormatting>
  <conditionalFormatting sqref="D20:X25">
    <cfRule type="containsText" dxfId="32" priority="6" operator="containsText" text=" Анікєєв">
      <formula>NOT(ISERROR(SEARCH(" Анікєєв",D20)))</formula>
    </cfRule>
  </conditionalFormatting>
  <conditionalFormatting sqref="D27:X32">
    <cfRule type="containsText" dxfId="31" priority="5" operator="containsText" text=" Анікєєв">
      <formula>NOT(ISERROR(SEARCH(" Анікєєв",D27)))</formula>
    </cfRule>
  </conditionalFormatting>
  <conditionalFormatting sqref="D34:X34">
    <cfRule type="containsText" dxfId="30" priority="4" operator="containsText" text=" Анікєєв">
      <formula>NOT(ISERROR(SEARCH(" Анікєєв",D34)))</formula>
    </cfRule>
  </conditionalFormatting>
  <conditionalFormatting sqref="D33:X33">
    <cfRule type="containsText" dxfId="29" priority="3" operator="containsText" text=" Анікєєв">
      <formula>NOT(ISERROR(SEARCH(" Анікєєв",D33)))</formula>
    </cfRule>
  </conditionalFormatting>
  <conditionalFormatting sqref="C34:C40">
    <cfRule type="containsText" dxfId="28" priority="2" operator="containsText" text=" Анікєєв">
      <formula>NOT(ISERROR(SEARCH(" Анікєєв",C34)))</formula>
    </cfRule>
  </conditionalFormatting>
  <conditionalFormatting sqref="B41:Y41">
    <cfRule type="containsText" dxfId="27" priority="1" operator="containsText" text=" Анікєєв">
      <formula>NOT(ISERROR(SEARCH(" Анікєєв",B41)))</formula>
    </cfRule>
  </conditionalFormatting>
  <pageMargins left="0.31496062992125984" right="0.51181102362204722" top="0.35433070866141736" bottom="0.55118110236220474" header="0.31496062992125984" footer="0.31496062992125984"/>
  <pageSetup paperSize="9" scale="57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Y70"/>
  <sheetViews>
    <sheetView topLeftCell="P1" zoomScale="80" zoomScaleNormal="80" workbookViewId="0">
      <selection activeCell="A13" sqref="A1:XFD1048576"/>
    </sheetView>
  </sheetViews>
  <sheetFormatPr defaultRowHeight="15" x14ac:dyDescent="0.25"/>
  <cols>
    <col min="1" max="1" width="21.7109375" customWidth="1"/>
    <col min="2" max="2" width="11.85546875" customWidth="1"/>
    <col min="3" max="3" width="28.7109375" customWidth="1"/>
    <col min="4" max="7" width="24.28515625" customWidth="1"/>
    <col min="8" max="8" width="27.7109375" customWidth="1"/>
    <col min="9" max="9" width="25" customWidth="1"/>
    <col min="10" max="10" width="24.28515625" customWidth="1"/>
    <col min="11" max="12" width="25" customWidth="1"/>
    <col min="13" max="13" width="28.42578125" bestFit="1" customWidth="1"/>
    <col min="14" max="14" width="25" bestFit="1" customWidth="1"/>
    <col min="15" max="18" width="24.28515625" bestFit="1" customWidth="1"/>
    <col min="19" max="20" width="25" bestFit="1" customWidth="1"/>
    <col min="21" max="21" width="24.28515625" bestFit="1" customWidth="1"/>
    <col min="22" max="22" width="25" customWidth="1"/>
    <col min="23" max="23" width="25" bestFit="1" customWidth="1"/>
    <col min="24" max="24" width="25" customWidth="1"/>
    <col min="25" max="25" width="25" bestFit="1" customWidth="1"/>
  </cols>
  <sheetData>
    <row r="1" spans="1:25" ht="15" customHeight="1" x14ac:dyDescent="0.25">
      <c r="A1" s="189" t="s">
        <v>20</v>
      </c>
      <c r="B1" s="189"/>
      <c r="C1" s="189"/>
      <c r="D1" s="189"/>
      <c r="E1" s="189"/>
      <c r="F1" s="189"/>
      <c r="G1" s="189"/>
      <c r="H1" s="189"/>
      <c r="I1" s="189"/>
      <c r="J1" s="9"/>
      <c r="K1" s="9"/>
      <c r="L1" s="9"/>
      <c r="M1" s="9"/>
      <c r="N1" s="9"/>
      <c r="O1" s="9"/>
      <c r="P1" s="9"/>
      <c r="Q1" s="9"/>
      <c r="R1" s="9"/>
    </row>
    <row r="2" spans="1:25" x14ac:dyDescent="0.25">
      <c r="A2" s="189"/>
      <c r="B2" s="189"/>
      <c r="C2" s="189"/>
      <c r="D2" s="189"/>
      <c r="E2" s="189"/>
      <c r="F2" s="189"/>
      <c r="G2" s="189"/>
      <c r="H2" s="189"/>
      <c r="I2" s="189"/>
      <c r="J2" s="9"/>
      <c r="K2" s="9"/>
      <c r="L2" s="9"/>
      <c r="M2" s="9"/>
      <c r="N2" s="9"/>
      <c r="O2" s="9"/>
      <c r="P2" s="9"/>
      <c r="Q2" s="9"/>
      <c r="R2" s="9"/>
    </row>
    <row r="3" spans="1:25" ht="15.75" thickBot="1" x14ac:dyDescent="0.3">
      <c r="A3" s="190"/>
      <c r="B3" s="190"/>
      <c r="C3" s="190"/>
      <c r="D3" s="190"/>
      <c r="E3" s="190"/>
      <c r="F3" s="190"/>
      <c r="G3" s="190"/>
      <c r="H3" s="190"/>
      <c r="I3" s="190"/>
      <c r="J3" s="9"/>
      <c r="K3" s="9"/>
      <c r="L3" s="9"/>
      <c r="M3" s="9"/>
      <c r="N3" s="9"/>
      <c r="O3" s="9"/>
      <c r="P3" s="9"/>
      <c r="Q3" s="9"/>
      <c r="R3" s="9"/>
    </row>
    <row r="4" spans="1:25" s="113" customFormat="1" ht="22.5" thickTop="1" thickBot="1" x14ac:dyDescent="0.35">
      <c r="A4" s="191" t="s">
        <v>13</v>
      </c>
      <c r="B4" s="192"/>
      <c r="C4" s="1">
        <v>1</v>
      </c>
      <c r="D4" s="1">
        <v>2</v>
      </c>
      <c r="E4" s="1">
        <v>3</v>
      </c>
      <c r="F4" s="1">
        <v>4</v>
      </c>
      <c r="G4" s="1">
        <v>5</v>
      </c>
      <c r="H4" s="1">
        <v>6</v>
      </c>
      <c r="I4" s="1">
        <v>7</v>
      </c>
      <c r="J4" s="1">
        <v>8</v>
      </c>
      <c r="K4" s="1">
        <v>9</v>
      </c>
      <c r="L4" s="1">
        <v>10</v>
      </c>
      <c r="M4" s="1">
        <v>11</v>
      </c>
      <c r="N4" s="1">
        <v>12</v>
      </c>
      <c r="O4" s="1">
        <v>13</v>
      </c>
      <c r="P4" s="1">
        <v>14</v>
      </c>
      <c r="Q4" s="1">
        <v>15</v>
      </c>
      <c r="R4" s="1">
        <v>16</v>
      </c>
      <c r="S4" s="1">
        <v>17</v>
      </c>
      <c r="T4" s="112">
        <v>18</v>
      </c>
      <c r="U4" s="112">
        <v>19</v>
      </c>
      <c r="V4" s="112">
        <v>20</v>
      </c>
      <c r="W4" s="112">
        <v>21</v>
      </c>
      <c r="X4" s="112">
        <v>22</v>
      </c>
      <c r="Y4" s="112">
        <v>23</v>
      </c>
    </row>
    <row r="5" spans="1:25" ht="21.75" thickTop="1" thickBot="1" x14ac:dyDescent="0.35">
      <c r="A5" s="2" t="s">
        <v>0</v>
      </c>
      <c r="B5" s="3" t="s">
        <v>1</v>
      </c>
      <c r="C5" s="4" t="s">
        <v>25</v>
      </c>
      <c r="D5" s="4" t="s">
        <v>26</v>
      </c>
      <c r="E5" s="4" t="s">
        <v>27</v>
      </c>
      <c r="F5" s="4" t="s">
        <v>28</v>
      </c>
      <c r="G5" s="4" t="s">
        <v>29</v>
      </c>
      <c r="H5" s="4" t="s">
        <v>30</v>
      </c>
      <c r="I5" s="4" t="s">
        <v>31</v>
      </c>
      <c r="J5" s="4" t="s">
        <v>32</v>
      </c>
      <c r="K5" s="4" t="s">
        <v>33</v>
      </c>
      <c r="L5" s="4" t="s">
        <v>34</v>
      </c>
      <c r="M5" s="4" t="s">
        <v>35</v>
      </c>
      <c r="N5" s="4" t="s">
        <v>36</v>
      </c>
      <c r="O5" s="4" t="s">
        <v>37</v>
      </c>
      <c r="P5" s="4" t="s">
        <v>38</v>
      </c>
      <c r="Q5" s="4" t="s">
        <v>39</v>
      </c>
      <c r="R5" s="4" t="s">
        <v>40</v>
      </c>
      <c r="S5" s="4" t="s">
        <v>41</v>
      </c>
      <c r="T5" s="114"/>
      <c r="U5" s="114"/>
      <c r="V5" s="114"/>
      <c r="W5" s="114"/>
      <c r="X5" s="114"/>
      <c r="Y5" s="114"/>
    </row>
    <row r="6" spans="1:25" s="8" customFormat="1" ht="16.149999999999999" customHeight="1" thickTop="1" thickBot="1" x14ac:dyDescent="0.3">
      <c r="A6" s="193" t="s">
        <v>2</v>
      </c>
      <c r="B6" s="115" t="s">
        <v>10</v>
      </c>
      <c r="C6" s="65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7"/>
      <c r="U6" s="67"/>
      <c r="V6" s="67"/>
      <c r="W6" s="67"/>
      <c r="X6" s="67"/>
      <c r="Y6" s="67"/>
    </row>
    <row r="7" spans="1:25" s="8" customFormat="1" ht="16.149999999999999" customHeight="1" thickTop="1" thickBot="1" x14ac:dyDescent="0.3">
      <c r="A7" s="193"/>
      <c r="B7" s="116" t="s">
        <v>11</v>
      </c>
      <c r="C7" s="68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69"/>
      <c r="S7" s="69"/>
      <c r="T7" s="70"/>
      <c r="U7" s="70"/>
      <c r="V7" s="70"/>
      <c r="W7" s="70"/>
      <c r="X7" s="70"/>
      <c r="Y7" s="71"/>
    </row>
    <row r="8" spans="1:25" s="8" customFormat="1" ht="16.149999999999999" customHeight="1" thickTop="1" thickBot="1" x14ac:dyDescent="0.3">
      <c r="A8" s="193"/>
      <c r="B8" s="116" t="s">
        <v>12</v>
      </c>
      <c r="C8" s="68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3"/>
      <c r="U8" s="73"/>
      <c r="V8" s="73"/>
      <c r="W8" s="73"/>
      <c r="X8" s="73"/>
      <c r="Y8" s="71"/>
    </row>
    <row r="9" spans="1:25" s="8" customFormat="1" ht="16.149999999999999" customHeight="1" thickTop="1" thickBot="1" x14ac:dyDescent="0.3">
      <c r="A9" s="193"/>
      <c r="B9" s="116" t="s">
        <v>7</v>
      </c>
      <c r="C9" s="68"/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3"/>
      <c r="U9" s="73"/>
      <c r="V9" s="73"/>
      <c r="W9" s="73"/>
      <c r="X9" s="73"/>
      <c r="Y9" s="71"/>
    </row>
    <row r="10" spans="1:25" s="8" customFormat="1" ht="16.149999999999999" customHeight="1" thickTop="1" thickBot="1" x14ac:dyDescent="0.3">
      <c r="A10" s="193"/>
      <c r="B10" s="116" t="s">
        <v>8</v>
      </c>
      <c r="C10" s="68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3"/>
      <c r="U10" s="73"/>
      <c r="V10" s="73"/>
      <c r="W10" s="73"/>
      <c r="X10" s="73"/>
      <c r="Y10" s="71"/>
    </row>
    <row r="11" spans="1:25" s="8" customFormat="1" ht="16.149999999999999" customHeight="1" thickTop="1" thickBot="1" x14ac:dyDescent="0.3">
      <c r="A11" s="193"/>
      <c r="B11" s="117" t="s">
        <v>9</v>
      </c>
      <c r="C11" s="74"/>
      <c r="D11" s="75"/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6"/>
      <c r="U11" s="76"/>
      <c r="V11" s="76"/>
      <c r="W11" s="76"/>
      <c r="X11" s="76"/>
      <c r="Y11" s="77"/>
    </row>
    <row r="12" spans="1:25" s="11" customFormat="1" ht="16.149999999999999" customHeight="1" thickTop="1" thickBot="1" x14ac:dyDescent="0.3">
      <c r="A12" s="193"/>
      <c r="B12" s="118" t="s">
        <v>14</v>
      </c>
      <c r="C12" s="78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80"/>
      <c r="U12" s="80"/>
      <c r="V12" s="80"/>
      <c r="W12" s="80"/>
      <c r="X12" s="80"/>
      <c r="Y12" s="81"/>
    </row>
    <row r="13" spans="1:25" s="11" customFormat="1" ht="16.149999999999999" customHeight="1" thickTop="1" thickBot="1" x14ac:dyDescent="0.3">
      <c r="A13" s="194" t="s">
        <v>3</v>
      </c>
      <c r="B13" s="97" t="s">
        <v>10</v>
      </c>
      <c r="C13" s="82"/>
      <c r="D13" s="83"/>
      <c r="E13" s="83"/>
      <c r="F13" s="83"/>
      <c r="G13" s="83"/>
      <c r="H13" s="83"/>
      <c r="I13" s="83"/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4"/>
      <c r="U13" s="84"/>
      <c r="V13" s="84"/>
      <c r="W13" s="84"/>
      <c r="X13" s="84"/>
      <c r="Y13" s="85"/>
    </row>
    <row r="14" spans="1:25" s="11" customFormat="1" ht="16.5" thickTop="1" thickBot="1" x14ac:dyDescent="0.3">
      <c r="A14" s="194"/>
      <c r="B14" s="119" t="s">
        <v>11</v>
      </c>
      <c r="C14" s="86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8"/>
      <c r="U14" s="88"/>
      <c r="V14" s="88"/>
      <c r="W14" s="88"/>
      <c r="X14" s="88"/>
      <c r="Y14" s="71"/>
    </row>
    <row r="15" spans="1:25" s="11" customFormat="1" ht="16.5" thickTop="1" thickBot="1" x14ac:dyDescent="0.3">
      <c r="A15" s="194"/>
      <c r="B15" s="119" t="s">
        <v>12</v>
      </c>
      <c r="C15" s="89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73"/>
      <c r="U15" s="73"/>
      <c r="V15" s="73"/>
      <c r="W15" s="73"/>
      <c r="X15" s="73"/>
      <c r="Y15" s="71"/>
    </row>
    <row r="16" spans="1:25" s="11" customFormat="1" ht="16.149999999999999" customHeight="1" thickTop="1" thickBot="1" x14ac:dyDescent="0.3">
      <c r="A16" s="194"/>
      <c r="B16" s="119" t="s">
        <v>7</v>
      </c>
      <c r="C16" s="86"/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8"/>
      <c r="U16" s="88"/>
      <c r="V16" s="88"/>
      <c r="W16" s="88"/>
      <c r="X16" s="88"/>
      <c r="Y16" s="71"/>
    </row>
    <row r="17" spans="1:25" s="11" customFormat="1" ht="16.149999999999999" customHeight="1" thickTop="1" thickBot="1" x14ac:dyDescent="0.3">
      <c r="A17" s="194"/>
      <c r="B17" s="119" t="s">
        <v>8</v>
      </c>
      <c r="C17" s="86"/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8"/>
      <c r="U17" s="88"/>
      <c r="V17" s="88"/>
      <c r="W17" s="88"/>
      <c r="X17" s="88"/>
      <c r="Y17" s="71"/>
    </row>
    <row r="18" spans="1:25" s="8" customFormat="1" ht="16.149999999999999" customHeight="1" thickTop="1" thickBot="1" x14ac:dyDescent="0.3">
      <c r="A18" s="194"/>
      <c r="B18" s="120" t="s">
        <v>9</v>
      </c>
      <c r="C18" s="86"/>
      <c r="D18" s="91"/>
      <c r="E18" s="91"/>
      <c r="F18" s="91"/>
      <c r="G18" s="91"/>
      <c r="H18" s="91"/>
      <c r="I18" s="91"/>
      <c r="J18" s="91"/>
      <c r="K18" s="91"/>
      <c r="L18" s="91"/>
      <c r="M18" s="91"/>
      <c r="N18" s="91"/>
      <c r="O18" s="91"/>
      <c r="P18" s="91"/>
      <c r="Q18" s="91"/>
      <c r="R18" s="91"/>
      <c r="S18" s="91"/>
      <c r="T18" s="92"/>
      <c r="U18" s="92"/>
      <c r="V18" s="92"/>
      <c r="W18" s="92"/>
      <c r="X18" s="92"/>
      <c r="Y18" s="77"/>
    </row>
    <row r="19" spans="1:25" s="8" customFormat="1" ht="16.149999999999999" customHeight="1" thickTop="1" thickBot="1" x14ac:dyDescent="0.3">
      <c r="A19" s="194"/>
      <c r="B19" s="121" t="s">
        <v>14</v>
      </c>
      <c r="C19" s="93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80"/>
      <c r="U19" s="80"/>
      <c r="V19" s="80"/>
      <c r="W19" s="80"/>
      <c r="X19" s="80"/>
      <c r="Y19" s="81"/>
    </row>
    <row r="20" spans="1:25" s="8" customFormat="1" ht="16.149999999999999" customHeight="1" thickTop="1" thickBot="1" x14ac:dyDescent="0.3">
      <c r="A20" s="193" t="s">
        <v>4</v>
      </c>
      <c r="B20" s="115" t="s">
        <v>10</v>
      </c>
      <c r="C20" s="65"/>
      <c r="D20" s="95"/>
      <c r="E20" s="95"/>
      <c r="F20" s="95"/>
      <c r="G20" s="95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84"/>
      <c r="U20" s="84"/>
      <c r="V20" s="84"/>
      <c r="W20" s="84"/>
      <c r="X20" s="84"/>
      <c r="Y20" s="85"/>
    </row>
    <row r="21" spans="1:25" s="8" customFormat="1" ht="16.149999999999999" customHeight="1" thickTop="1" thickBot="1" x14ac:dyDescent="0.3">
      <c r="A21" s="193"/>
      <c r="B21" s="116" t="s">
        <v>11</v>
      </c>
      <c r="C21" s="68"/>
      <c r="D21" s="96"/>
      <c r="E21" s="96"/>
      <c r="F21" s="96"/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88"/>
      <c r="U21" s="88"/>
      <c r="V21" s="88"/>
      <c r="W21" s="88"/>
      <c r="X21" s="88"/>
      <c r="Y21" s="71"/>
    </row>
    <row r="22" spans="1:25" s="8" customFormat="1" ht="16.149999999999999" customHeight="1" thickTop="1" thickBot="1" x14ac:dyDescent="0.3">
      <c r="A22" s="193"/>
      <c r="B22" s="116" t="s">
        <v>12</v>
      </c>
      <c r="C22" s="68"/>
      <c r="D22" s="96"/>
      <c r="E22" s="96"/>
      <c r="F22" s="96"/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88"/>
      <c r="U22" s="88"/>
      <c r="V22" s="88"/>
      <c r="W22" s="88"/>
      <c r="X22" s="88"/>
      <c r="Y22" s="71"/>
    </row>
    <row r="23" spans="1:25" s="8" customFormat="1" ht="16.149999999999999" customHeight="1" thickTop="1" thickBot="1" x14ac:dyDescent="0.3">
      <c r="A23" s="193"/>
      <c r="B23" s="116" t="s">
        <v>7</v>
      </c>
      <c r="C23" s="68"/>
      <c r="D23" s="96"/>
      <c r="E23" s="96"/>
      <c r="F23" s="96"/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88"/>
      <c r="U23" s="88"/>
      <c r="V23" s="88"/>
      <c r="W23" s="88"/>
      <c r="X23" s="88"/>
      <c r="Y23" s="71"/>
    </row>
    <row r="24" spans="1:25" s="8" customFormat="1" ht="16.149999999999999" customHeight="1" thickTop="1" thickBot="1" x14ac:dyDescent="0.3">
      <c r="A24" s="193"/>
      <c r="B24" s="116" t="s">
        <v>8</v>
      </c>
      <c r="C24" s="68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3"/>
      <c r="U24" s="73"/>
      <c r="V24" s="73"/>
      <c r="W24" s="73"/>
      <c r="X24" s="73"/>
      <c r="Y24" s="71"/>
    </row>
    <row r="25" spans="1:25" s="11" customFormat="1" ht="16.149999999999999" customHeight="1" thickTop="1" thickBot="1" x14ac:dyDescent="0.3">
      <c r="A25" s="193"/>
      <c r="B25" s="116" t="s">
        <v>9</v>
      </c>
      <c r="C25" s="68"/>
      <c r="D25" s="96"/>
      <c r="E25" s="96"/>
      <c r="F25" s="96"/>
      <c r="G25" s="96"/>
      <c r="H25" s="96"/>
      <c r="I25" s="96"/>
      <c r="J25" s="96"/>
      <c r="K25" s="96"/>
      <c r="L25" s="96"/>
      <c r="M25" s="96"/>
      <c r="N25" s="96"/>
      <c r="O25" s="96"/>
      <c r="P25" s="96"/>
      <c r="Q25" s="96"/>
      <c r="R25" s="96"/>
      <c r="S25" s="96"/>
      <c r="T25" s="88"/>
      <c r="U25" s="88"/>
      <c r="V25" s="88"/>
      <c r="W25" s="88"/>
      <c r="X25" s="88"/>
      <c r="Y25" s="71"/>
    </row>
    <row r="26" spans="1:25" s="11" customFormat="1" ht="16.149999999999999" customHeight="1" thickTop="1" thickBot="1" x14ac:dyDescent="0.3">
      <c r="A26" s="193"/>
      <c r="B26" s="118" t="s">
        <v>14</v>
      </c>
      <c r="C26" s="78"/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80"/>
      <c r="U26" s="80"/>
      <c r="V26" s="80"/>
      <c r="W26" s="80"/>
      <c r="X26" s="80"/>
      <c r="Y26" s="81"/>
    </row>
    <row r="27" spans="1:25" s="11" customFormat="1" ht="16.149999999999999" customHeight="1" thickTop="1" thickBot="1" x14ac:dyDescent="0.3">
      <c r="A27" s="194" t="s">
        <v>5</v>
      </c>
      <c r="B27" s="97" t="s">
        <v>10</v>
      </c>
      <c r="C27" s="97"/>
      <c r="D27" s="98"/>
      <c r="E27" s="98"/>
      <c r="F27" s="98"/>
      <c r="G27" s="98"/>
      <c r="H27" s="98"/>
      <c r="I27" s="98"/>
      <c r="J27" s="98"/>
      <c r="K27" s="98"/>
      <c r="L27" s="98"/>
      <c r="M27" s="98"/>
      <c r="N27" s="98"/>
      <c r="O27" s="98"/>
      <c r="P27" s="98"/>
      <c r="Q27" s="98"/>
      <c r="R27" s="98"/>
      <c r="S27" s="98"/>
      <c r="T27" s="67"/>
      <c r="U27" s="67"/>
      <c r="V27" s="67"/>
      <c r="W27" s="67"/>
      <c r="X27" s="67"/>
      <c r="Y27" s="85"/>
    </row>
    <row r="28" spans="1:25" s="11" customFormat="1" ht="16.149999999999999" customHeight="1" thickTop="1" thickBot="1" x14ac:dyDescent="0.3">
      <c r="A28" s="194"/>
      <c r="B28" s="119" t="s">
        <v>11</v>
      </c>
      <c r="C28" s="86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7"/>
      <c r="S28" s="87"/>
      <c r="T28" s="88"/>
      <c r="U28" s="88"/>
      <c r="V28" s="88"/>
      <c r="W28" s="88"/>
      <c r="X28" s="88"/>
      <c r="Y28" s="71"/>
    </row>
    <row r="29" spans="1:25" s="11" customFormat="1" ht="16.149999999999999" customHeight="1" thickTop="1" thickBot="1" x14ac:dyDescent="0.3">
      <c r="A29" s="194"/>
      <c r="B29" s="119" t="s">
        <v>12</v>
      </c>
      <c r="C29" s="86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8"/>
      <c r="U29" s="88"/>
      <c r="V29" s="88"/>
      <c r="W29" s="88"/>
      <c r="X29" s="88"/>
      <c r="Y29" s="71"/>
    </row>
    <row r="30" spans="1:25" s="11" customFormat="1" ht="16.149999999999999" customHeight="1" thickTop="1" thickBot="1" x14ac:dyDescent="0.3">
      <c r="A30" s="194"/>
      <c r="B30" s="119" t="s">
        <v>7</v>
      </c>
      <c r="C30" s="99"/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90"/>
      <c r="S30" s="90"/>
      <c r="T30" s="73"/>
      <c r="U30" s="73"/>
      <c r="V30" s="73"/>
      <c r="W30" s="73"/>
      <c r="X30" s="73"/>
      <c r="Y30" s="71"/>
    </row>
    <row r="31" spans="1:25" s="11" customFormat="1" ht="16.149999999999999" customHeight="1" thickTop="1" thickBot="1" x14ac:dyDescent="0.3">
      <c r="A31" s="194"/>
      <c r="B31" s="119" t="s">
        <v>8</v>
      </c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90"/>
      <c r="S31" s="90"/>
      <c r="T31" s="73"/>
      <c r="U31" s="73"/>
      <c r="V31" s="73"/>
      <c r="W31" s="73"/>
      <c r="X31" s="73"/>
      <c r="Y31" s="100"/>
    </row>
    <row r="32" spans="1:25" s="8" customFormat="1" ht="16.149999999999999" customHeight="1" thickTop="1" thickBot="1" x14ac:dyDescent="0.3">
      <c r="A32" s="194"/>
      <c r="B32" s="120" t="s">
        <v>9</v>
      </c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73"/>
      <c r="U32" s="73"/>
      <c r="V32" s="73"/>
      <c r="W32" s="73"/>
      <c r="X32" s="73"/>
      <c r="Y32" s="101"/>
    </row>
    <row r="33" spans="1:25" s="8" customFormat="1" ht="16.5" thickTop="1" thickBot="1" x14ac:dyDescent="0.3">
      <c r="A33" s="194"/>
      <c r="B33" s="121" t="s">
        <v>14</v>
      </c>
      <c r="C33" s="90"/>
      <c r="D33" s="87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88"/>
      <c r="U33" s="88"/>
      <c r="V33" s="88"/>
      <c r="W33" s="88"/>
      <c r="X33" s="88"/>
      <c r="Y33" s="81"/>
    </row>
    <row r="34" spans="1:25" s="8" customFormat="1" ht="16.149999999999999" customHeight="1" thickTop="1" thickBot="1" x14ac:dyDescent="0.3">
      <c r="A34" s="188" t="s">
        <v>6</v>
      </c>
      <c r="B34" s="115" t="s">
        <v>10</v>
      </c>
      <c r="C34" s="95"/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84"/>
      <c r="U34" s="84"/>
      <c r="V34" s="84"/>
      <c r="W34" s="84"/>
      <c r="X34" s="84"/>
      <c r="Y34" s="85"/>
    </row>
    <row r="35" spans="1:25" s="8" customFormat="1" ht="16.149999999999999" customHeight="1" thickTop="1" thickBot="1" x14ac:dyDescent="0.3">
      <c r="A35" s="188"/>
      <c r="B35" s="116" t="s">
        <v>11</v>
      </c>
      <c r="C35" s="96"/>
      <c r="D35" s="96"/>
      <c r="E35" s="96"/>
      <c r="F35" s="96"/>
      <c r="G35" s="96"/>
      <c r="H35" s="96"/>
      <c r="I35" s="96"/>
      <c r="J35" s="96"/>
      <c r="K35" s="96"/>
      <c r="L35" s="96"/>
      <c r="M35" s="96"/>
      <c r="N35" s="96"/>
      <c r="O35" s="96"/>
      <c r="P35" s="96"/>
      <c r="Q35" s="96"/>
      <c r="R35" s="96"/>
      <c r="S35" s="96"/>
      <c r="T35" s="88"/>
      <c r="U35" s="88"/>
      <c r="V35" s="88"/>
      <c r="W35" s="88"/>
      <c r="X35" s="88"/>
      <c r="Y35" s="71"/>
    </row>
    <row r="36" spans="1:25" s="8" customFormat="1" ht="16.149999999999999" customHeight="1" thickTop="1" thickBot="1" x14ac:dyDescent="0.3">
      <c r="A36" s="188"/>
      <c r="B36" s="116" t="s">
        <v>12</v>
      </c>
      <c r="C36" s="69"/>
      <c r="D36" s="69"/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69"/>
      <c r="S36" s="69"/>
      <c r="T36" s="70"/>
      <c r="U36" s="70"/>
      <c r="V36" s="70"/>
      <c r="W36" s="70"/>
      <c r="X36" s="70"/>
      <c r="Y36" s="71"/>
    </row>
    <row r="37" spans="1:25" ht="16.149999999999999" customHeight="1" thickTop="1" thickBot="1" x14ac:dyDescent="0.3">
      <c r="A37" s="188"/>
      <c r="B37" s="116" t="s">
        <v>7</v>
      </c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3"/>
      <c r="U37" s="73"/>
      <c r="V37" s="73"/>
      <c r="W37" s="73"/>
      <c r="X37" s="73"/>
      <c r="Y37" s="100"/>
    </row>
    <row r="38" spans="1:25" ht="16.149999999999999" customHeight="1" thickTop="1" thickBot="1" x14ac:dyDescent="0.3">
      <c r="A38" s="188"/>
      <c r="B38" s="116" t="s">
        <v>8</v>
      </c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3"/>
      <c r="U38" s="73"/>
      <c r="V38" s="73"/>
      <c r="W38" s="73"/>
      <c r="X38" s="73"/>
      <c r="Y38" s="71"/>
    </row>
    <row r="39" spans="1:25" ht="16.149999999999999" customHeight="1" thickTop="1" thickBot="1" x14ac:dyDescent="0.3">
      <c r="A39" s="188"/>
      <c r="B39" s="117" t="s">
        <v>9</v>
      </c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6"/>
      <c r="U39" s="76"/>
      <c r="V39" s="76"/>
      <c r="W39" s="76"/>
      <c r="X39" s="76"/>
      <c r="Y39" s="77"/>
    </row>
    <row r="40" spans="1:25" ht="16.149999999999999" customHeight="1" thickTop="1" thickBot="1" x14ac:dyDescent="0.3">
      <c r="A40" s="188"/>
      <c r="B40" s="118" t="s">
        <v>14</v>
      </c>
      <c r="C40" s="102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3"/>
      <c r="S40" s="103"/>
      <c r="T40" s="104"/>
      <c r="U40" s="104"/>
      <c r="V40" s="104"/>
      <c r="W40" s="104"/>
      <c r="X40" s="104"/>
      <c r="Y40" s="105"/>
    </row>
    <row r="41" spans="1:25" ht="16.149999999999999" customHeight="1" thickTop="1" thickBot="1" x14ac:dyDescent="0.3">
      <c r="A41" s="188" t="s">
        <v>24</v>
      </c>
      <c r="B41" s="106" t="s">
        <v>10</v>
      </c>
      <c r="C41" s="106"/>
      <c r="D41" s="106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84"/>
      <c r="U41" s="84"/>
      <c r="V41" s="84"/>
      <c r="W41" s="84"/>
      <c r="X41" s="84"/>
      <c r="Y41" s="84"/>
    </row>
    <row r="42" spans="1:25" ht="16.149999999999999" customHeight="1" thickTop="1" thickBot="1" x14ac:dyDescent="0.3">
      <c r="A42" s="188"/>
      <c r="B42" s="107" t="s">
        <v>11</v>
      </c>
      <c r="C42" s="107"/>
      <c r="D42" s="107"/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88"/>
      <c r="U42" s="88"/>
      <c r="V42" s="88"/>
      <c r="W42" s="88"/>
      <c r="X42" s="88"/>
      <c r="Y42" s="88"/>
    </row>
    <row r="43" spans="1:25" ht="16.149999999999999" customHeight="1" thickTop="1" thickBot="1" x14ac:dyDescent="0.3">
      <c r="A43" s="188"/>
      <c r="B43" s="108" t="s">
        <v>12</v>
      </c>
      <c r="C43" s="108"/>
      <c r="D43" s="108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69"/>
      <c r="Q43" s="69"/>
      <c r="R43" s="69"/>
      <c r="S43" s="69"/>
      <c r="T43" s="70"/>
      <c r="U43" s="70"/>
      <c r="V43" s="70"/>
      <c r="W43" s="70"/>
      <c r="X43" s="70"/>
      <c r="Y43" s="70"/>
    </row>
    <row r="44" spans="1:25" ht="16.5" thickTop="1" thickBot="1" x14ac:dyDescent="0.3">
      <c r="A44" s="188"/>
      <c r="B44" s="109" t="s">
        <v>7</v>
      </c>
      <c r="C44" s="109"/>
      <c r="D44" s="109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3"/>
      <c r="U44" s="73"/>
      <c r="V44" s="73"/>
      <c r="W44" s="73"/>
      <c r="X44" s="73"/>
      <c r="Y44" s="73"/>
    </row>
    <row r="45" spans="1:25" ht="16.5" thickTop="1" thickBot="1" x14ac:dyDescent="0.3">
      <c r="A45" s="188"/>
      <c r="B45" s="109" t="s">
        <v>8</v>
      </c>
      <c r="C45" s="109"/>
      <c r="D45" s="109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3"/>
      <c r="U45" s="73"/>
      <c r="V45" s="73"/>
      <c r="W45" s="73"/>
      <c r="X45" s="73"/>
      <c r="Y45" s="73"/>
    </row>
    <row r="46" spans="1:25" ht="16.5" thickTop="1" thickBot="1" x14ac:dyDescent="0.3">
      <c r="A46" s="188"/>
      <c r="B46" s="110" t="s">
        <v>9</v>
      </c>
      <c r="C46" s="110"/>
      <c r="D46" s="110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5"/>
      <c r="S46" s="75"/>
      <c r="T46" s="76"/>
      <c r="U46" s="76"/>
      <c r="V46" s="76"/>
      <c r="W46" s="76"/>
      <c r="X46" s="76"/>
      <c r="Y46" s="76"/>
    </row>
    <row r="47" spans="1:25" ht="16.5" thickTop="1" thickBot="1" x14ac:dyDescent="0.3">
      <c r="A47" s="188"/>
      <c r="B47" s="118" t="s">
        <v>14</v>
      </c>
      <c r="C47" s="111"/>
      <c r="D47" s="111"/>
      <c r="E47" s="103"/>
      <c r="F47" s="103"/>
      <c r="G47" s="103"/>
      <c r="H47" s="103"/>
      <c r="I47" s="103"/>
      <c r="J47" s="103"/>
      <c r="K47" s="103"/>
      <c r="L47" s="103"/>
      <c r="M47" s="103"/>
      <c r="N47" s="103"/>
      <c r="O47" s="103"/>
      <c r="P47" s="103"/>
      <c r="Q47" s="103"/>
      <c r="R47" s="103"/>
      <c r="S47" s="103"/>
      <c r="T47" s="104"/>
      <c r="U47" s="104"/>
      <c r="V47" s="104"/>
      <c r="W47" s="104"/>
      <c r="X47" s="104"/>
      <c r="Y47" s="104"/>
    </row>
    <row r="48" spans="1:25" ht="15.75" thickTop="1" x14ac:dyDescent="0.25"/>
    <row r="49" spans="1:5" x14ac:dyDescent="0.25">
      <c r="A49" t="s">
        <v>42</v>
      </c>
      <c r="B49" s="122" t="s">
        <v>43</v>
      </c>
    </row>
    <row r="50" spans="1:5" x14ac:dyDescent="0.25">
      <c r="A50" s="123"/>
      <c r="B50" s="124"/>
      <c r="E50" s="125"/>
    </row>
    <row r="51" spans="1:5" x14ac:dyDescent="0.25">
      <c r="A51" s="126"/>
      <c r="B51" s="127"/>
      <c r="E51" s="125"/>
    </row>
    <row r="52" spans="1:5" x14ac:dyDescent="0.25">
      <c r="A52" s="126"/>
      <c r="B52" s="127"/>
      <c r="E52" s="125"/>
    </row>
    <row r="53" spans="1:5" x14ac:dyDescent="0.25">
      <c r="A53" s="126"/>
      <c r="B53" s="127"/>
      <c r="E53" s="125"/>
    </row>
    <row r="54" spans="1:5" x14ac:dyDescent="0.25">
      <c r="A54" s="126"/>
      <c r="B54" s="127"/>
      <c r="E54" s="125"/>
    </row>
    <row r="55" spans="1:5" x14ac:dyDescent="0.25">
      <c r="A55" s="128"/>
      <c r="B55" s="129"/>
      <c r="E55" s="125"/>
    </row>
    <row r="56" spans="1:5" x14ac:dyDescent="0.25">
      <c r="A56" s="128"/>
      <c r="B56" s="129"/>
      <c r="E56" s="125"/>
    </row>
    <row r="57" spans="1:5" x14ac:dyDescent="0.25">
      <c r="A57" s="128"/>
      <c r="B57" s="129"/>
      <c r="E57" s="125"/>
    </row>
    <row r="58" spans="1:5" x14ac:dyDescent="0.25">
      <c r="A58" s="128"/>
      <c r="B58" s="129"/>
      <c r="E58" s="125"/>
    </row>
    <row r="59" spans="1:5" x14ac:dyDescent="0.25">
      <c r="A59" s="128"/>
      <c r="B59" s="129"/>
      <c r="E59" s="125"/>
    </row>
    <row r="60" spans="1:5" x14ac:dyDescent="0.25">
      <c r="A60" s="128"/>
      <c r="B60" s="129"/>
      <c r="E60" s="125"/>
    </row>
    <row r="61" spans="1:5" x14ac:dyDescent="0.25">
      <c r="A61" s="128"/>
      <c r="B61" s="129"/>
      <c r="E61" s="125"/>
    </row>
    <row r="62" spans="1:5" x14ac:dyDescent="0.25">
      <c r="A62" s="128"/>
      <c r="B62" s="129"/>
      <c r="E62" s="125"/>
    </row>
    <row r="63" spans="1:5" x14ac:dyDescent="0.25">
      <c r="A63" s="128"/>
      <c r="B63" s="129"/>
      <c r="E63" s="125"/>
    </row>
    <row r="64" spans="1:5" x14ac:dyDescent="0.25">
      <c r="A64" s="128"/>
      <c r="B64" s="129"/>
      <c r="E64" s="125"/>
    </row>
    <row r="65" spans="1:5" x14ac:dyDescent="0.25">
      <c r="A65" s="128"/>
      <c r="B65" s="129"/>
      <c r="E65" s="125"/>
    </row>
    <row r="66" spans="1:5" x14ac:dyDescent="0.25">
      <c r="A66" s="128"/>
      <c r="B66" s="129"/>
      <c r="E66" s="125"/>
    </row>
    <row r="67" spans="1:5" x14ac:dyDescent="0.25">
      <c r="A67" s="128"/>
      <c r="B67" s="129"/>
      <c r="E67" s="125"/>
    </row>
    <row r="68" spans="1:5" x14ac:dyDescent="0.25">
      <c r="A68" s="128"/>
      <c r="B68" s="129"/>
    </row>
    <row r="69" spans="1:5" x14ac:dyDescent="0.25">
      <c r="A69" s="128"/>
      <c r="B69" s="129"/>
    </row>
    <row r="70" spans="1:5" x14ac:dyDescent="0.25">
      <c r="A70" s="130"/>
      <c r="B70" s="131"/>
    </row>
  </sheetData>
  <mergeCells count="8">
    <mergeCell ref="A27:A33"/>
    <mergeCell ref="A34:A40"/>
    <mergeCell ref="A41:A47"/>
    <mergeCell ref="A1:I3"/>
    <mergeCell ref="A4:B4"/>
    <mergeCell ref="A6:A12"/>
    <mergeCell ref="A13:A19"/>
    <mergeCell ref="A20:A26"/>
  </mergeCells>
  <conditionalFormatting sqref="D6:Y6">
    <cfRule type="containsText" dxfId="26" priority="13" operator="containsText" text=" Анікєєв">
      <formula>NOT(ISERROR(SEARCH(" Анікєєв",D6)))</formula>
    </cfRule>
  </conditionalFormatting>
  <conditionalFormatting sqref="D7:X7">
    <cfRule type="containsText" dxfId="25" priority="12" operator="containsText" text=" Анікєєв">
      <formula>NOT(ISERROR(SEARCH(" Анікєєв",D7)))</formula>
    </cfRule>
  </conditionalFormatting>
  <conditionalFormatting sqref="D8:X8">
    <cfRule type="containsText" dxfId="24" priority="11" operator="containsText" text=" Анікєєв">
      <formula>NOT(ISERROR(SEARCH(" Анікєєв",D8)))</formula>
    </cfRule>
  </conditionalFormatting>
  <conditionalFormatting sqref="D9:X9">
    <cfRule type="containsText" dxfId="23" priority="10" operator="containsText" text=" Анікєєв">
      <formula>NOT(ISERROR(SEARCH(" Анікєєв",D9)))</formula>
    </cfRule>
  </conditionalFormatting>
  <conditionalFormatting sqref="D10:X11">
    <cfRule type="containsText" dxfId="22" priority="9" operator="containsText" text=" Анікєєв">
      <formula>NOT(ISERROR(SEARCH(" Анікєєв",D10)))</formula>
    </cfRule>
  </conditionalFormatting>
  <conditionalFormatting sqref="D12:X12">
    <cfRule type="containsText" dxfId="21" priority="8" operator="containsText" text=" Анікєєв">
      <formula>NOT(ISERROR(SEARCH(" Анікєєв",D12)))</formula>
    </cfRule>
  </conditionalFormatting>
  <conditionalFormatting sqref="D13:X19">
    <cfRule type="containsText" dxfId="20" priority="7" operator="containsText" text=" Анікєєв">
      <formula>NOT(ISERROR(SEARCH(" Анікєєв",D13)))</formula>
    </cfRule>
  </conditionalFormatting>
  <conditionalFormatting sqref="D20:X25">
    <cfRule type="containsText" dxfId="19" priority="6" operator="containsText" text=" Анікєєв">
      <formula>NOT(ISERROR(SEARCH(" Анікєєв",D20)))</formula>
    </cfRule>
  </conditionalFormatting>
  <conditionalFormatting sqref="D27:X32">
    <cfRule type="containsText" dxfId="18" priority="5" operator="containsText" text=" Анікєєв">
      <formula>NOT(ISERROR(SEARCH(" Анікєєв",D27)))</formula>
    </cfRule>
  </conditionalFormatting>
  <conditionalFormatting sqref="D34:X34">
    <cfRule type="containsText" dxfId="17" priority="4" operator="containsText" text=" Анікєєв">
      <formula>NOT(ISERROR(SEARCH(" Анікєєв",D34)))</formula>
    </cfRule>
  </conditionalFormatting>
  <conditionalFormatting sqref="D33:X33">
    <cfRule type="containsText" dxfId="16" priority="3" operator="containsText" text=" Анікєєв">
      <formula>NOT(ISERROR(SEARCH(" Анікєєв",D33)))</formula>
    </cfRule>
  </conditionalFormatting>
  <conditionalFormatting sqref="C34:C40">
    <cfRule type="containsText" dxfId="15" priority="2" operator="containsText" text=" Анікєєв">
      <formula>NOT(ISERROR(SEARCH(" Анікєєв",C34)))</formula>
    </cfRule>
  </conditionalFormatting>
  <conditionalFormatting sqref="B41:Y41">
    <cfRule type="containsText" dxfId="14" priority="1" operator="containsText" text=" Анікєєв">
      <formula>NOT(ISERROR(SEARCH(" Анікєєв",B41)))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C183D-29EC-4F7C-A770-21FF214A76FA}">
  <sheetPr codeName="Sheet23"/>
  <dimension ref="A1:Y70"/>
  <sheetViews>
    <sheetView zoomScale="36" zoomScaleNormal="36" workbookViewId="0">
      <selection activeCell="F28" sqref="F28"/>
    </sheetView>
  </sheetViews>
  <sheetFormatPr defaultRowHeight="15" x14ac:dyDescent="0.25"/>
  <cols>
    <col min="1" max="1" width="21.7109375" customWidth="1"/>
    <col min="2" max="2" width="11.85546875" customWidth="1"/>
    <col min="3" max="6" width="24.28515625" customWidth="1"/>
    <col min="7" max="7" width="23.7109375" customWidth="1"/>
    <col min="8" max="8" width="25.28515625" customWidth="1"/>
    <col min="9" max="9" width="77.28515625" bestFit="1" customWidth="1"/>
    <col min="10" max="10" width="51" bestFit="1" customWidth="1"/>
    <col min="11" max="11" width="74.7109375" bestFit="1" customWidth="1"/>
    <col min="12" max="15" width="24.28515625" bestFit="1" customWidth="1"/>
    <col min="16" max="17" width="40.5703125" bestFit="1" customWidth="1"/>
    <col min="18" max="19" width="24.28515625" bestFit="1" customWidth="1"/>
    <col min="20" max="20" width="20.7109375" bestFit="1" customWidth="1"/>
    <col min="21" max="21" width="25" bestFit="1" customWidth="1"/>
    <col min="22" max="22" width="25" customWidth="1"/>
    <col min="23" max="23" width="25" bestFit="1" customWidth="1"/>
    <col min="24" max="24" width="25" customWidth="1"/>
    <col min="25" max="25" width="25" bestFit="1" customWidth="1"/>
  </cols>
  <sheetData>
    <row r="1" spans="1:25" ht="15" customHeight="1" x14ac:dyDescent="0.25">
      <c r="A1" s="189" t="s">
        <v>23</v>
      </c>
      <c r="B1" s="189"/>
      <c r="C1" s="189"/>
      <c r="D1" s="189"/>
      <c r="E1" s="189"/>
      <c r="F1" s="189"/>
      <c r="G1" s="189"/>
      <c r="H1" s="189"/>
      <c r="I1" s="189"/>
      <c r="J1" s="9"/>
      <c r="K1" s="9"/>
      <c r="L1" s="9"/>
      <c r="M1" s="9"/>
      <c r="N1" s="9"/>
      <c r="O1" s="9"/>
      <c r="P1" s="9"/>
      <c r="Q1" s="9"/>
      <c r="R1" s="9"/>
    </row>
    <row r="2" spans="1:25" x14ac:dyDescent="0.25">
      <c r="A2" s="189"/>
      <c r="B2" s="189"/>
      <c r="C2" s="189"/>
      <c r="D2" s="189"/>
      <c r="E2" s="189"/>
      <c r="F2" s="189"/>
      <c r="G2" s="189"/>
      <c r="H2" s="189"/>
      <c r="I2" s="189"/>
      <c r="J2" s="9"/>
      <c r="K2" s="9"/>
      <c r="L2" s="9"/>
      <c r="M2" s="9"/>
      <c r="N2" s="9"/>
      <c r="O2" s="9"/>
      <c r="P2" s="9"/>
      <c r="Q2" s="9"/>
      <c r="R2" s="9"/>
    </row>
    <row r="3" spans="1:25" ht="15.75" thickBot="1" x14ac:dyDescent="0.3">
      <c r="A3" s="190"/>
      <c r="B3" s="190"/>
      <c r="C3" s="190"/>
      <c r="D3" s="190"/>
      <c r="E3" s="190"/>
      <c r="F3" s="190"/>
      <c r="G3" s="190"/>
      <c r="H3" s="190"/>
      <c r="I3" s="190"/>
      <c r="J3" s="9"/>
      <c r="K3" s="9"/>
      <c r="L3" s="9"/>
      <c r="M3" s="9"/>
      <c r="N3" s="9"/>
      <c r="O3" s="9"/>
      <c r="P3" s="9"/>
      <c r="Q3" s="9"/>
      <c r="R3" s="9"/>
    </row>
    <row r="4" spans="1:25" s="113" customFormat="1" ht="22.5" thickTop="1" thickBot="1" x14ac:dyDescent="0.35">
      <c r="A4" s="191" t="s">
        <v>13</v>
      </c>
      <c r="B4" s="192"/>
      <c r="C4" s="1">
        <v>1</v>
      </c>
      <c r="D4" s="1">
        <v>2</v>
      </c>
      <c r="E4" s="1">
        <v>3</v>
      </c>
      <c r="F4" s="1">
        <v>4</v>
      </c>
      <c r="G4" s="1">
        <v>5</v>
      </c>
      <c r="H4" s="1">
        <v>6</v>
      </c>
      <c r="I4" s="1">
        <v>7</v>
      </c>
      <c r="J4" s="1">
        <v>8</v>
      </c>
      <c r="K4" s="1">
        <v>9</v>
      </c>
      <c r="L4" s="1">
        <v>10</v>
      </c>
      <c r="M4" s="1">
        <v>11</v>
      </c>
      <c r="N4" s="1">
        <v>12</v>
      </c>
      <c r="O4" s="1">
        <v>13</v>
      </c>
      <c r="P4" s="1">
        <v>14</v>
      </c>
      <c r="Q4" s="1">
        <v>15</v>
      </c>
      <c r="R4" s="1">
        <v>16</v>
      </c>
      <c r="S4" s="1">
        <v>17</v>
      </c>
      <c r="T4" s="112">
        <v>18</v>
      </c>
      <c r="U4" s="112">
        <v>19</v>
      </c>
      <c r="V4" s="112">
        <v>20</v>
      </c>
      <c r="W4" s="112">
        <v>21</v>
      </c>
      <c r="X4" s="112">
        <v>22</v>
      </c>
      <c r="Y4" s="112">
        <v>23</v>
      </c>
    </row>
    <row r="5" spans="1:25" ht="21.75" thickTop="1" thickBot="1" x14ac:dyDescent="0.35">
      <c r="A5" s="2" t="s">
        <v>0</v>
      </c>
      <c r="B5" s="3" t="s">
        <v>1</v>
      </c>
      <c r="C5" s="4" t="s">
        <v>49</v>
      </c>
      <c r="D5" s="4" t="s">
        <v>50</v>
      </c>
      <c r="E5" s="4" t="s">
        <v>51</v>
      </c>
      <c r="F5" s="4" t="s">
        <v>52</v>
      </c>
      <c r="G5" s="4" t="s">
        <v>48</v>
      </c>
      <c r="H5" s="4" t="s">
        <v>47</v>
      </c>
      <c r="I5" s="4" t="s">
        <v>46</v>
      </c>
      <c r="J5" s="4" t="s">
        <v>45</v>
      </c>
      <c r="K5" s="4" t="s">
        <v>53</v>
      </c>
      <c r="L5" s="4" t="s">
        <v>54</v>
      </c>
      <c r="M5" s="4" t="s">
        <v>61</v>
      </c>
      <c r="N5" s="4" t="s">
        <v>60</v>
      </c>
      <c r="O5" s="4" t="s">
        <v>59</v>
      </c>
      <c r="P5" s="4" t="s">
        <v>58</v>
      </c>
      <c r="Q5" s="4" t="s">
        <v>57</v>
      </c>
      <c r="R5" s="4" t="s">
        <v>56</v>
      </c>
      <c r="S5" s="4" t="s">
        <v>55</v>
      </c>
      <c r="T5" s="114"/>
      <c r="U5" s="114"/>
      <c r="V5" s="114"/>
      <c r="W5" s="114"/>
      <c r="X5" s="114"/>
      <c r="Y5" s="114"/>
    </row>
    <row r="6" spans="1:25" s="8" customFormat="1" ht="44.25" thickTop="1" thickBot="1" x14ac:dyDescent="0.3">
      <c r="A6" s="193" t="s">
        <v>2</v>
      </c>
      <c r="B6" s="115" t="s">
        <v>10</v>
      </c>
      <c r="C6" s="65"/>
      <c r="D6" s="66"/>
      <c r="E6" s="152" t="s">
        <v>244</v>
      </c>
      <c r="F6" s="152" t="s">
        <v>244</v>
      </c>
      <c r="G6" s="152" t="s">
        <v>244</v>
      </c>
      <c r="H6" s="152" t="s">
        <v>316</v>
      </c>
      <c r="I6" s="152" t="s">
        <v>316</v>
      </c>
      <c r="J6" s="66"/>
      <c r="K6" s="66"/>
      <c r="L6" s="66"/>
      <c r="M6" s="66"/>
      <c r="N6" s="66"/>
      <c r="O6" s="66"/>
      <c r="P6" s="66"/>
      <c r="Q6" s="66"/>
      <c r="R6" s="66"/>
      <c r="S6" s="66"/>
      <c r="T6" s="67"/>
      <c r="U6" s="67"/>
      <c r="V6" s="67"/>
      <c r="W6" s="67"/>
      <c r="X6" s="67"/>
      <c r="Y6" s="67"/>
    </row>
    <row r="7" spans="1:25" s="8" customFormat="1" ht="222" customHeight="1" thickTop="1" thickBot="1" x14ac:dyDescent="0.3">
      <c r="A7" s="193"/>
      <c r="B7" s="116" t="s">
        <v>11</v>
      </c>
      <c r="C7" s="68"/>
      <c r="D7" s="69"/>
      <c r="E7" s="72" t="s">
        <v>300</v>
      </c>
      <c r="F7" s="72" t="s">
        <v>300</v>
      </c>
      <c r="G7" s="72" t="s">
        <v>300</v>
      </c>
      <c r="H7" s="72" t="s">
        <v>315</v>
      </c>
      <c r="I7" s="72" t="s">
        <v>320</v>
      </c>
      <c r="J7" s="72" t="s">
        <v>322</v>
      </c>
      <c r="K7" s="72" t="s">
        <v>375</v>
      </c>
      <c r="L7" s="72" t="s">
        <v>322</v>
      </c>
      <c r="M7" s="72" t="s">
        <v>322</v>
      </c>
      <c r="N7" s="72" t="s">
        <v>315</v>
      </c>
      <c r="O7" s="72" t="s">
        <v>315</v>
      </c>
      <c r="P7" s="69"/>
      <c r="Q7" s="69"/>
      <c r="R7" s="69"/>
      <c r="S7" s="69"/>
      <c r="T7" s="70"/>
      <c r="U7" s="70"/>
      <c r="V7" s="70"/>
      <c r="W7" s="70"/>
      <c r="X7" s="70"/>
      <c r="Y7" s="71"/>
    </row>
    <row r="8" spans="1:25" s="8" customFormat="1" ht="104.25" thickTop="1" thickBot="1" x14ac:dyDescent="0.3">
      <c r="A8" s="193"/>
      <c r="B8" s="116" t="s">
        <v>12</v>
      </c>
      <c r="C8" s="68"/>
      <c r="D8" s="72"/>
      <c r="E8" s="72"/>
      <c r="F8" s="72"/>
      <c r="G8" s="72"/>
      <c r="H8" s="72"/>
      <c r="I8" s="170" t="s">
        <v>321</v>
      </c>
      <c r="J8" s="170" t="s">
        <v>321</v>
      </c>
      <c r="K8" s="170" t="s">
        <v>321</v>
      </c>
      <c r="L8" s="72"/>
      <c r="M8" s="72"/>
      <c r="N8" s="72"/>
      <c r="O8" s="72"/>
      <c r="P8" s="72"/>
      <c r="Q8" s="72"/>
      <c r="R8" s="72"/>
      <c r="S8" s="72"/>
      <c r="T8" s="73"/>
      <c r="U8" s="73"/>
      <c r="V8" s="73"/>
      <c r="W8" s="73"/>
      <c r="X8" s="73"/>
      <c r="Y8" s="71"/>
    </row>
    <row r="9" spans="1:25" s="8" customFormat="1" ht="61.5" thickTop="1" thickBot="1" x14ac:dyDescent="0.3">
      <c r="A9" s="193"/>
      <c r="B9" s="116" t="s">
        <v>7</v>
      </c>
      <c r="C9" s="68"/>
      <c r="D9" s="72"/>
      <c r="E9" s="72"/>
      <c r="F9" s="72"/>
      <c r="G9" s="72"/>
      <c r="H9" s="72"/>
      <c r="I9" s="72"/>
      <c r="J9" s="72"/>
      <c r="K9" s="72" t="s">
        <v>376</v>
      </c>
      <c r="L9" s="72"/>
      <c r="M9" s="72"/>
      <c r="N9" s="72"/>
      <c r="O9" s="72"/>
      <c r="P9" s="72"/>
      <c r="Q9" s="72"/>
      <c r="R9" s="72"/>
      <c r="S9" s="72"/>
      <c r="T9" s="73"/>
      <c r="U9" s="73"/>
      <c r="V9" s="73"/>
      <c r="W9" s="73"/>
      <c r="X9" s="73"/>
      <c r="Y9" s="71"/>
    </row>
    <row r="10" spans="1:25" s="8" customFormat="1" ht="16.149999999999999" customHeight="1" thickTop="1" thickBot="1" x14ac:dyDescent="0.3">
      <c r="A10" s="193"/>
      <c r="B10" s="116" t="s">
        <v>8</v>
      </c>
      <c r="C10" s="68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3"/>
      <c r="U10" s="73"/>
      <c r="V10" s="73"/>
      <c r="W10" s="73"/>
      <c r="X10" s="73"/>
      <c r="Y10" s="71"/>
    </row>
    <row r="11" spans="1:25" s="8" customFormat="1" ht="16.149999999999999" customHeight="1" thickTop="1" thickBot="1" x14ac:dyDescent="0.3">
      <c r="A11" s="193"/>
      <c r="B11" s="117" t="s">
        <v>9</v>
      </c>
      <c r="C11" s="74"/>
      <c r="D11" s="75"/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6"/>
      <c r="U11" s="76"/>
      <c r="V11" s="76"/>
      <c r="W11" s="76"/>
      <c r="X11" s="76"/>
      <c r="Y11" s="77"/>
    </row>
    <row r="12" spans="1:25" s="11" customFormat="1" ht="16.149999999999999" customHeight="1" thickTop="1" thickBot="1" x14ac:dyDescent="0.3">
      <c r="A12" s="193"/>
      <c r="B12" s="118" t="s">
        <v>14</v>
      </c>
      <c r="C12" s="78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80"/>
      <c r="U12" s="80"/>
      <c r="V12" s="80"/>
      <c r="W12" s="80"/>
      <c r="X12" s="80"/>
      <c r="Y12" s="81"/>
    </row>
    <row r="13" spans="1:25" s="11" customFormat="1" ht="87" thickTop="1" thickBot="1" x14ac:dyDescent="0.3">
      <c r="A13" s="194" t="s">
        <v>3</v>
      </c>
      <c r="B13" s="97" t="s">
        <v>10</v>
      </c>
      <c r="C13" s="82"/>
      <c r="D13" s="83"/>
      <c r="E13" s="153" t="s">
        <v>245</v>
      </c>
      <c r="F13" s="153" t="s">
        <v>245</v>
      </c>
      <c r="G13" s="153" t="s">
        <v>245</v>
      </c>
      <c r="H13" s="153" t="s">
        <v>317</v>
      </c>
      <c r="I13" s="83"/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4"/>
      <c r="U13" s="84"/>
      <c r="V13" s="84"/>
      <c r="W13" s="84"/>
      <c r="X13" s="84"/>
      <c r="Y13" s="85"/>
    </row>
    <row r="14" spans="1:25" s="11" customFormat="1" ht="91.5" thickTop="1" thickBot="1" x14ac:dyDescent="0.3">
      <c r="A14" s="194"/>
      <c r="B14" s="119" t="s">
        <v>11</v>
      </c>
      <c r="C14" s="86"/>
      <c r="D14" s="87"/>
      <c r="E14" s="154" t="s">
        <v>245</v>
      </c>
      <c r="F14" s="154" t="s">
        <v>245</v>
      </c>
      <c r="G14" s="87"/>
      <c r="H14" s="90" t="s">
        <v>303</v>
      </c>
      <c r="I14" s="90" t="s">
        <v>303</v>
      </c>
      <c r="J14" s="90" t="s">
        <v>303</v>
      </c>
      <c r="K14" s="90" t="s">
        <v>303</v>
      </c>
      <c r="L14" s="90" t="s">
        <v>303</v>
      </c>
      <c r="M14" s="90" t="s">
        <v>303</v>
      </c>
      <c r="N14" s="90" t="s">
        <v>303</v>
      </c>
      <c r="O14" s="90" t="s">
        <v>303</v>
      </c>
      <c r="P14" s="87"/>
      <c r="Q14" s="87"/>
      <c r="R14" s="87"/>
      <c r="S14" s="87"/>
      <c r="T14" s="88"/>
      <c r="U14" s="88"/>
      <c r="V14" s="88"/>
      <c r="W14" s="88"/>
      <c r="X14" s="88"/>
      <c r="Y14" s="71"/>
    </row>
    <row r="15" spans="1:25" s="11" customFormat="1" ht="46.5" thickTop="1" thickBot="1" x14ac:dyDescent="0.3">
      <c r="A15" s="194"/>
      <c r="B15" s="119" t="s">
        <v>12</v>
      </c>
      <c r="C15" s="89"/>
      <c r="D15" s="90"/>
      <c r="E15" s="90"/>
      <c r="F15" s="90"/>
      <c r="G15" s="90"/>
      <c r="H15" s="90" t="s">
        <v>302</v>
      </c>
      <c r="I15" s="90" t="s">
        <v>302</v>
      </c>
      <c r="J15" s="90" t="s">
        <v>302</v>
      </c>
      <c r="K15" s="90" t="s">
        <v>302</v>
      </c>
      <c r="L15" s="90" t="s">
        <v>302</v>
      </c>
      <c r="M15" s="90" t="s">
        <v>302</v>
      </c>
      <c r="N15" s="90" t="s">
        <v>302</v>
      </c>
      <c r="O15" s="90" t="s">
        <v>302</v>
      </c>
      <c r="P15" s="90"/>
      <c r="Q15" s="90"/>
      <c r="R15" s="90"/>
      <c r="S15" s="90"/>
      <c r="T15" s="73"/>
      <c r="U15" s="73"/>
      <c r="V15" s="73"/>
      <c r="W15" s="73"/>
      <c r="X15" s="73"/>
      <c r="Y15" s="71"/>
    </row>
    <row r="16" spans="1:25" s="11" customFormat="1" ht="16.149999999999999" customHeight="1" thickTop="1" thickBot="1" x14ac:dyDescent="0.3">
      <c r="A16" s="194"/>
      <c r="B16" s="119" t="s">
        <v>7</v>
      </c>
      <c r="C16" s="86"/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8"/>
      <c r="U16" s="88"/>
      <c r="V16" s="88"/>
      <c r="W16" s="88"/>
      <c r="X16" s="88"/>
      <c r="Y16" s="71"/>
    </row>
    <row r="17" spans="1:25" s="11" customFormat="1" ht="16.149999999999999" customHeight="1" thickTop="1" thickBot="1" x14ac:dyDescent="0.3">
      <c r="A17" s="194"/>
      <c r="B17" s="119" t="s">
        <v>8</v>
      </c>
      <c r="C17" s="86"/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8"/>
      <c r="U17" s="88"/>
      <c r="V17" s="88"/>
      <c r="W17" s="88"/>
      <c r="X17" s="88"/>
      <c r="Y17" s="71"/>
    </row>
    <row r="18" spans="1:25" s="8" customFormat="1" ht="16.149999999999999" customHeight="1" thickTop="1" thickBot="1" x14ac:dyDescent="0.3">
      <c r="A18" s="194"/>
      <c r="B18" s="120" t="s">
        <v>9</v>
      </c>
      <c r="C18" s="86"/>
      <c r="D18" s="91"/>
      <c r="E18" s="91"/>
      <c r="F18" s="91"/>
      <c r="G18" s="91"/>
      <c r="H18" s="91"/>
      <c r="I18" s="91"/>
      <c r="J18" s="91"/>
      <c r="K18" s="91"/>
      <c r="L18" s="91"/>
      <c r="M18" s="91"/>
      <c r="N18" s="91"/>
      <c r="O18" s="91"/>
      <c r="P18" s="91"/>
      <c r="Q18" s="91"/>
      <c r="R18" s="91"/>
      <c r="S18" s="91"/>
      <c r="T18" s="92"/>
      <c r="U18" s="92"/>
      <c r="V18" s="92"/>
      <c r="W18" s="92"/>
      <c r="X18" s="92"/>
      <c r="Y18" s="77"/>
    </row>
    <row r="19" spans="1:25" s="8" customFormat="1" ht="16.149999999999999" customHeight="1" thickTop="1" thickBot="1" x14ac:dyDescent="0.3">
      <c r="A19" s="194"/>
      <c r="B19" s="121" t="s">
        <v>14</v>
      </c>
      <c r="C19" s="93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80"/>
      <c r="U19" s="80"/>
      <c r="V19" s="80"/>
      <c r="W19" s="80"/>
      <c r="X19" s="80"/>
      <c r="Y19" s="81"/>
    </row>
    <row r="20" spans="1:25" s="8" customFormat="1" ht="31.5" thickTop="1" thickBot="1" x14ac:dyDescent="0.3">
      <c r="A20" s="193" t="s">
        <v>4</v>
      </c>
      <c r="B20" s="115" t="s">
        <v>10</v>
      </c>
      <c r="C20" s="65"/>
      <c r="D20" s="95"/>
      <c r="E20" s="95"/>
      <c r="F20" s="95"/>
      <c r="G20" s="95"/>
      <c r="H20" s="95"/>
      <c r="I20" s="95"/>
      <c r="J20" s="95"/>
      <c r="K20" s="95"/>
      <c r="L20" s="95"/>
      <c r="M20" s="95"/>
      <c r="N20" s="95"/>
      <c r="O20" s="95"/>
      <c r="P20" s="135" t="s">
        <v>299</v>
      </c>
      <c r="Q20" s="135" t="s">
        <v>299</v>
      </c>
      <c r="R20" s="95"/>
      <c r="S20" s="95"/>
      <c r="T20" s="84"/>
      <c r="U20" s="84"/>
      <c r="V20" s="84"/>
      <c r="W20" s="84"/>
      <c r="X20" s="84"/>
      <c r="Y20" s="85"/>
    </row>
    <row r="21" spans="1:25" s="8" customFormat="1" ht="211.5" thickTop="1" thickBot="1" x14ac:dyDescent="0.3">
      <c r="A21" s="193"/>
      <c r="B21" s="116" t="s">
        <v>11</v>
      </c>
      <c r="C21" s="68"/>
      <c r="D21" s="96"/>
      <c r="E21" s="96"/>
      <c r="F21" s="96"/>
      <c r="G21" s="96"/>
      <c r="H21" s="96"/>
      <c r="I21" s="96"/>
      <c r="J21" s="96"/>
      <c r="K21" s="72" t="s">
        <v>377</v>
      </c>
      <c r="L21" s="72" t="s">
        <v>378</v>
      </c>
      <c r="M21" s="72" t="s">
        <v>378</v>
      </c>
      <c r="N21" s="96"/>
      <c r="O21" s="96"/>
      <c r="P21" s="96"/>
      <c r="Q21" s="96"/>
      <c r="R21" s="96"/>
      <c r="S21" s="96"/>
      <c r="T21" s="88"/>
      <c r="U21" s="88"/>
      <c r="V21" s="88"/>
      <c r="W21" s="88"/>
      <c r="X21" s="88"/>
      <c r="Y21" s="71"/>
    </row>
    <row r="22" spans="1:25" s="8" customFormat="1" ht="196.5" thickTop="1" thickBot="1" x14ac:dyDescent="0.3">
      <c r="A22" s="193"/>
      <c r="B22" s="116" t="s">
        <v>12</v>
      </c>
      <c r="C22" s="68"/>
      <c r="D22" s="96"/>
      <c r="E22" s="96"/>
      <c r="F22" s="96"/>
      <c r="G22" s="96"/>
      <c r="H22" s="96"/>
      <c r="I22" s="96"/>
      <c r="J22" s="96"/>
      <c r="K22" s="72" t="s">
        <v>379</v>
      </c>
      <c r="L22" s="96"/>
      <c r="M22" s="96"/>
      <c r="N22" s="96"/>
      <c r="O22" s="96"/>
      <c r="P22" s="96"/>
      <c r="Q22" s="96"/>
      <c r="R22" s="96"/>
      <c r="S22" s="96"/>
      <c r="T22" s="88"/>
      <c r="U22" s="88"/>
      <c r="V22" s="88"/>
      <c r="W22" s="88"/>
      <c r="X22" s="88"/>
      <c r="Y22" s="71"/>
    </row>
    <row r="23" spans="1:25" s="8" customFormat="1" ht="16.149999999999999" customHeight="1" thickTop="1" thickBot="1" x14ac:dyDescent="0.3">
      <c r="A23" s="193"/>
      <c r="B23" s="116" t="s">
        <v>7</v>
      </c>
      <c r="C23" s="68"/>
      <c r="D23" s="96"/>
      <c r="E23" s="96"/>
      <c r="F23" s="96"/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88"/>
      <c r="U23" s="88"/>
      <c r="V23" s="88"/>
      <c r="W23" s="88"/>
      <c r="X23" s="88"/>
      <c r="Y23" s="71"/>
    </row>
    <row r="24" spans="1:25" s="8" customFormat="1" ht="16.149999999999999" customHeight="1" thickTop="1" thickBot="1" x14ac:dyDescent="0.3">
      <c r="A24" s="193"/>
      <c r="B24" s="116" t="s">
        <v>8</v>
      </c>
      <c r="C24" s="68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3"/>
      <c r="U24" s="73"/>
      <c r="V24" s="73"/>
      <c r="W24" s="73"/>
      <c r="X24" s="73"/>
      <c r="Y24" s="71"/>
    </row>
    <row r="25" spans="1:25" s="11" customFormat="1" ht="16.149999999999999" customHeight="1" thickTop="1" thickBot="1" x14ac:dyDescent="0.3">
      <c r="A25" s="193"/>
      <c r="B25" s="116" t="s">
        <v>9</v>
      </c>
      <c r="C25" s="68"/>
      <c r="D25" s="96"/>
      <c r="E25" s="96"/>
      <c r="F25" s="96"/>
      <c r="G25" s="96"/>
      <c r="H25" s="96"/>
      <c r="I25" s="96"/>
      <c r="J25" s="96"/>
      <c r="K25" s="96"/>
      <c r="L25" s="96"/>
      <c r="M25" s="96"/>
      <c r="N25" s="96"/>
      <c r="O25" s="96"/>
      <c r="P25" s="96"/>
      <c r="Q25" s="96"/>
      <c r="R25" s="96"/>
      <c r="S25" s="96"/>
      <c r="T25" s="88"/>
      <c r="U25" s="88"/>
      <c r="V25" s="88"/>
      <c r="W25" s="88"/>
      <c r="X25" s="88"/>
      <c r="Y25" s="71"/>
    </row>
    <row r="26" spans="1:25" s="11" customFormat="1" ht="16.149999999999999" customHeight="1" thickTop="1" thickBot="1" x14ac:dyDescent="0.3">
      <c r="A26" s="193"/>
      <c r="B26" s="118" t="s">
        <v>14</v>
      </c>
      <c r="C26" s="78"/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80"/>
      <c r="U26" s="80"/>
      <c r="V26" s="80"/>
      <c r="W26" s="80"/>
      <c r="X26" s="80"/>
      <c r="Y26" s="81"/>
    </row>
    <row r="27" spans="1:25" s="11" customFormat="1" ht="145.15" customHeight="1" thickTop="1" thickBot="1" x14ac:dyDescent="0.3">
      <c r="A27" s="194" t="s">
        <v>5</v>
      </c>
      <c r="B27" s="97" t="s">
        <v>10</v>
      </c>
      <c r="C27" s="97"/>
      <c r="D27" s="98"/>
      <c r="E27" s="98"/>
      <c r="F27" s="98"/>
      <c r="G27" s="98"/>
      <c r="H27" s="98"/>
      <c r="I27" s="98"/>
      <c r="J27" s="147" t="s">
        <v>328</v>
      </c>
      <c r="K27" s="147" t="s">
        <v>328</v>
      </c>
      <c r="L27" s="98"/>
      <c r="M27" s="98"/>
      <c r="N27" s="98"/>
      <c r="O27" s="98"/>
      <c r="P27" s="98"/>
      <c r="Q27" s="98"/>
      <c r="R27" s="98"/>
      <c r="S27" s="98"/>
      <c r="T27" s="67"/>
      <c r="U27" s="67"/>
      <c r="V27" s="67"/>
      <c r="W27" s="67"/>
      <c r="X27" s="67"/>
      <c r="Y27" s="85"/>
    </row>
    <row r="28" spans="1:25" s="11" customFormat="1" ht="166.9" customHeight="1" thickTop="1" thickBot="1" x14ac:dyDescent="0.3">
      <c r="A28" s="194"/>
      <c r="B28" s="119" t="s">
        <v>11</v>
      </c>
      <c r="C28" s="86"/>
      <c r="D28" s="87"/>
      <c r="E28" s="87"/>
      <c r="F28" s="90" t="s">
        <v>246</v>
      </c>
      <c r="G28" s="90" t="s">
        <v>301</v>
      </c>
      <c r="H28" s="90" t="s">
        <v>318</v>
      </c>
      <c r="I28" s="138" t="s">
        <v>325</v>
      </c>
      <c r="J28" s="99" t="s">
        <v>325</v>
      </c>
      <c r="K28" s="99" t="s">
        <v>325</v>
      </c>
      <c r="L28" s="90" t="s">
        <v>318</v>
      </c>
      <c r="M28" s="90" t="s">
        <v>318</v>
      </c>
      <c r="N28" s="90" t="s">
        <v>318</v>
      </c>
      <c r="O28" s="90" t="s">
        <v>318</v>
      </c>
      <c r="P28" s="87"/>
      <c r="Q28" s="87"/>
      <c r="R28" s="87"/>
      <c r="S28" s="87"/>
      <c r="T28" s="88"/>
      <c r="U28" s="88"/>
      <c r="V28" s="88"/>
      <c r="W28" s="88"/>
      <c r="X28" s="88"/>
      <c r="Y28" s="71"/>
    </row>
    <row r="29" spans="1:25" s="11" customFormat="1" ht="153" customHeight="1" thickTop="1" thickBot="1" x14ac:dyDescent="0.3">
      <c r="A29" s="194"/>
      <c r="B29" s="119" t="s">
        <v>12</v>
      </c>
      <c r="C29" s="86"/>
      <c r="D29" s="87"/>
      <c r="E29" s="87"/>
      <c r="F29" s="87"/>
      <c r="G29" s="87"/>
      <c r="H29" s="90" t="s">
        <v>299</v>
      </c>
      <c r="I29" s="99" t="s">
        <v>319</v>
      </c>
      <c r="J29" s="99" t="s">
        <v>319</v>
      </c>
      <c r="K29" s="99" t="s">
        <v>319</v>
      </c>
      <c r="L29" s="90" t="s">
        <v>299</v>
      </c>
      <c r="M29" s="90" t="s">
        <v>299</v>
      </c>
      <c r="N29" s="90" t="s">
        <v>299</v>
      </c>
      <c r="O29" s="90" t="s">
        <v>299</v>
      </c>
      <c r="P29" s="90" t="s">
        <v>299</v>
      </c>
      <c r="Q29" s="90" t="s">
        <v>299</v>
      </c>
      <c r="R29" s="87"/>
      <c r="S29" s="87"/>
      <c r="T29" s="88"/>
      <c r="U29" s="88"/>
      <c r="V29" s="88"/>
      <c r="W29" s="88"/>
      <c r="X29" s="88"/>
      <c r="Y29" s="71"/>
    </row>
    <row r="30" spans="1:25" s="11" customFormat="1" ht="121.5" thickTop="1" thickBot="1" x14ac:dyDescent="0.3">
      <c r="A30" s="194"/>
      <c r="B30" s="119" t="s">
        <v>7</v>
      </c>
      <c r="C30" s="99"/>
      <c r="D30" s="90"/>
      <c r="E30" s="90"/>
      <c r="F30" s="90"/>
      <c r="G30" s="90"/>
      <c r="H30" s="90"/>
      <c r="I30" s="90" t="s">
        <v>326</v>
      </c>
      <c r="J30" s="90" t="s">
        <v>380</v>
      </c>
      <c r="K30" s="90" t="s">
        <v>380</v>
      </c>
      <c r="L30" s="90"/>
      <c r="M30" s="90"/>
      <c r="N30" s="90"/>
      <c r="O30" s="90"/>
      <c r="P30" s="90"/>
      <c r="Q30" s="90"/>
      <c r="R30" s="90"/>
      <c r="S30" s="90"/>
      <c r="T30" s="73"/>
      <c r="U30" s="73"/>
      <c r="V30" s="73"/>
      <c r="W30" s="73"/>
      <c r="X30" s="73"/>
      <c r="Y30" s="71"/>
    </row>
    <row r="31" spans="1:25" s="11" customFormat="1" ht="16.149999999999999" customHeight="1" thickTop="1" thickBot="1" x14ac:dyDescent="0.3">
      <c r="A31" s="194"/>
      <c r="B31" s="119" t="s">
        <v>8</v>
      </c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90"/>
      <c r="S31" s="90"/>
      <c r="T31" s="73"/>
      <c r="U31" s="73"/>
      <c r="V31" s="73"/>
      <c r="W31" s="73"/>
      <c r="X31" s="73"/>
      <c r="Y31" s="100"/>
    </row>
    <row r="32" spans="1:25" s="8" customFormat="1" ht="16.149999999999999" customHeight="1" thickTop="1" thickBot="1" x14ac:dyDescent="0.3">
      <c r="A32" s="194"/>
      <c r="B32" s="120" t="s">
        <v>9</v>
      </c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73"/>
      <c r="U32" s="73"/>
      <c r="V32" s="73"/>
      <c r="W32" s="73"/>
      <c r="X32" s="73"/>
      <c r="Y32" s="101"/>
    </row>
    <row r="33" spans="1:25" s="8" customFormat="1" ht="16.5" thickTop="1" thickBot="1" x14ac:dyDescent="0.3">
      <c r="A33" s="194"/>
      <c r="B33" s="121" t="s">
        <v>14</v>
      </c>
      <c r="C33" s="90"/>
      <c r="D33" s="87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88"/>
      <c r="U33" s="88"/>
      <c r="V33" s="88"/>
      <c r="W33" s="88"/>
      <c r="X33" s="88"/>
      <c r="Y33" s="81"/>
    </row>
    <row r="34" spans="1:25" s="8" customFormat="1" ht="16.149999999999999" customHeight="1" thickTop="1" thickBot="1" x14ac:dyDescent="0.3">
      <c r="A34" s="188" t="s">
        <v>6</v>
      </c>
      <c r="B34" s="115" t="s">
        <v>10</v>
      </c>
      <c r="C34" s="95"/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84"/>
      <c r="U34" s="84"/>
      <c r="V34" s="84"/>
      <c r="W34" s="84"/>
      <c r="X34" s="84"/>
      <c r="Y34" s="85"/>
    </row>
    <row r="35" spans="1:25" s="8" customFormat="1" ht="58.5" thickTop="1" thickBot="1" x14ac:dyDescent="0.3">
      <c r="A35" s="188"/>
      <c r="B35" s="116" t="s">
        <v>11</v>
      </c>
      <c r="C35" s="96"/>
      <c r="D35" s="96"/>
      <c r="E35" s="96"/>
      <c r="F35" s="96"/>
      <c r="G35" s="96"/>
      <c r="H35" s="96"/>
      <c r="I35" s="96"/>
      <c r="J35" s="170" t="s">
        <v>323</v>
      </c>
      <c r="K35" s="96"/>
      <c r="L35" s="96"/>
      <c r="M35" s="96"/>
      <c r="N35" s="96"/>
      <c r="O35" s="96"/>
      <c r="P35" s="96"/>
      <c r="Q35" s="96"/>
      <c r="R35" s="96"/>
      <c r="S35" s="96"/>
      <c r="T35" s="88"/>
      <c r="U35" s="88"/>
      <c r="V35" s="88"/>
      <c r="W35" s="88"/>
      <c r="X35" s="88"/>
      <c r="Y35" s="71"/>
    </row>
    <row r="36" spans="1:25" s="8" customFormat="1" ht="58.5" thickTop="1" thickBot="1" x14ac:dyDescent="0.3">
      <c r="A36" s="188"/>
      <c r="B36" s="116" t="s">
        <v>12</v>
      </c>
      <c r="C36" s="69"/>
      <c r="D36" s="69"/>
      <c r="E36" s="69"/>
      <c r="F36" s="69"/>
      <c r="G36" s="69"/>
      <c r="H36" s="69"/>
      <c r="I36" s="69"/>
      <c r="J36" s="170" t="s">
        <v>324</v>
      </c>
      <c r="K36" s="69"/>
      <c r="L36" s="69"/>
      <c r="M36" s="69"/>
      <c r="N36" s="69"/>
      <c r="O36" s="69"/>
      <c r="P36" s="69"/>
      <c r="Q36" s="69"/>
      <c r="R36" s="69"/>
      <c r="S36" s="69"/>
      <c r="T36" s="70"/>
      <c r="U36" s="70"/>
      <c r="V36" s="70"/>
      <c r="W36" s="70"/>
      <c r="X36" s="70"/>
      <c r="Y36" s="71"/>
    </row>
    <row r="37" spans="1:25" ht="16.149999999999999" customHeight="1" thickTop="1" thickBot="1" x14ac:dyDescent="0.3">
      <c r="A37" s="188"/>
      <c r="B37" s="116" t="s">
        <v>7</v>
      </c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3"/>
      <c r="U37" s="73"/>
      <c r="V37" s="73"/>
      <c r="W37" s="73"/>
      <c r="X37" s="73"/>
      <c r="Y37" s="100"/>
    </row>
    <row r="38" spans="1:25" ht="16.149999999999999" customHeight="1" thickTop="1" thickBot="1" x14ac:dyDescent="0.3">
      <c r="A38" s="188"/>
      <c r="B38" s="116" t="s">
        <v>8</v>
      </c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3"/>
      <c r="U38" s="73"/>
      <c r="V38" s="73"/>
      <c r="W38" s="73"/>
      <c r="X38" s="73"/>
      <c r="Y38" s="71"/>
    </row>
    <row r="39" spans="1:25" ht="16.149999999999999" customHeight="1" thickTop="1" thickBot="1" x14ac:dyDescent="0.3">
      <c r="A39" s="188"/>
      <c r="B39" s="117" t="s">
        <v>9</v>
      </c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6"/>
      <c r="U39" s="76"/>
      <c r="V39" s="76"/>
      <c r="W39" s="76"/>
      <c r="X39" s="76"/>
      <c r="Y39" s="77"/>
    </row>
    <row r="40" spans="1:25" ht="16.149999999999999" customHeight="1" thickTop="1" thickBot="1" x14ac:dyDescent="0.3">
      <c r="A40" s="188"/>
      <c r="B40" s="118" t="s">
        <v>14</v>
      </c>
      <c r="C40" s="102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3"/>
      <c r="S40" s="103"/>
      <c r="T40" s="104"/>
      <c r="U40" s="104"/>
      <c r="V40" s="104"/>
      <c r="W40" s="104"/>
      <c r="X40" s="104"/>
      <c r="Y40" s="105"/>
    </row>
    <row r="41" spans="1:25" ht="16.149999999999999" customHeight="1" thickTop="1" thickBot="1" x14ac:dyDescent="0.3">
      <c r="A41" s="188" t="s">
        <v>24</v>
      </c>
      <c r="B41" s="106" t="s">
        <v>10</v>
      </c>
      <c r="C41" s="106"/>
      <c r="D41" s="106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84"/>
      <c r="U41" s="84"/>
      <c r="V41" s="84"/>
      <c r="W41" s="84"/>
      <c r="X41" s="84"/>
      <c r="Y41" s="84"/>
    </row>
    <row r="42" spans="1:25" ht="16.149999999999999" customHeight="1" thickTop="1" thickBot="1" x14ac:dyDescent="0.3">
      <c r="A42" s="188"/>
      <c r="B42" s="107" t="s">
        <v>11</v>
      </c>
      <c r="C42" s="107"/>
      <c r="D42" s="107"/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88"/>
      <c r="U42" s="88"/>
      <c r="V42" s="88"/>
      <c r="W42" s="88"/>
      <c r="X42" s="88"/>
      <c r="Y42" s="88"/>
    </row>
    <row r="43" spans="1:25" ht="16.149999999999999" customHeight="1" thickTop="1" thickBot="1" x14ac:dyDescent="0.3">
      <c r="A43" s="188"/>
      <c r="B43" s="108" t="s">
        <v>12</v>
      </c>
      <c r="C43" s="108"/>
      <c r="D43" s="108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69"/>
      <c r="Q43" s="69"/>
      <c r="R43" s="69"/>
      <c r="S43" s="69"/>
      <c r="T43" s="70"/>
      <c r="U43" s="70"/>
      <c r="V43" s="70"/>
      <c r="W43" s="70"/>
      <c r="X43" s="70"/>
      <c r="Y43" s="70"/>
    </row>
    <row r="44" spans="1:25" ht="16.5" thickTop="1" thickBot="1" x14ac:dyDescent="0.3">
      <c r="A44" s="188"/>
      <c r="B44" s="109" t="s">
        <v>7</v>
      </c>
      <c r="C44" s="109"/>
      <c r="D44" s="109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3"/>
      <c r="U44" s="73"/>
      <c r="V44" s="73"/>
      <c r="W44" s="73"/>
      <c r="X44" s="73"/>
      <c r="Y44" s="73"/>
    </row>
    <row r="45" spans="1:25" ht="16.5" thickTop="1" thickBot="1" x14ac:dyDescent="0.3">
      <c r="A45" s="188"/>
      <c r="B45" s="109" t="s">
        <v>8</v>
      </c>
      <c r="C45" s="109"/>
      <c r="D45" s="109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3"/>
      <c r="U45" s="73"/>
      <c r="V45" s="73"/>
      <c r="W45" s="73"/>
      <c r="X45" s="73"/>
      <c r="Y45" s="73"/>
    </row>
    <row r="46" spans="1:25" ht="16.5" thickTop="1" thickBot="1" x14ac:dyDescent="0.3">
      <c r="A46" s="188"/>
      <c r="B46" s="110" t="s">
        <v>9</v>
      </c>
      <c r="C46" s="110"/>
      <c r="D46" s="110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5"/>
      <c r="S46" s="75"/>
      <c r="T46" s="76"/>
      <c r="U46" s="76"/>
      <c r="V46" s="76"/>
      <c r="W46" s="76"/>
      <c r="X46" s="76"/>
      <c r="Y46" s="76"/>
    </row>
    <row r="47" spans="1:25" ht="16.5" thickTop="1" thickBot="1" x14ac:dyDescent="0.3">
      <c r="A47" s="188"/>
      <c r="B47" s="118" t="s">
        <v>14</v>
      </c>
      <c r="C47" s="111"/>
      <c r="D47" s="111"/>
      <c r="E47" s="103"/>
      <c r="F47" s="103"/>
      <c r="G47" s="103"/>
      <c r="H47" s="103"/>
      <c r="I47" s="103"/>
      <c r="J47" s="103"/>
      <c r="K47" s="103"/>
      <c r="L47" s="103"/>
      <c r="M47" s="103"/>
      <c r="N47" s="103"/>
      <c r="O47" s="103"/>
      <c r="P47" s="103"/>
      <c r="Q47" s="103"/>
      <c r="R47" s="103"/>
      <c r="S47" s="103"/>
      <c r="T47" s="104"/>
      <c r="U47" s="104"/>
      <c r="V47" s="104"/>
      <c r="W47" s="104"/>
      <c r="X47" s="104"/>
      <c r="Y47" s="104"/>
    </row>
    <row r="48" spans="1:25" ht="15.75" thickTop="1" x14ac:dyDescent="0.25"/>
    <row r="49" spans="1:5" x14ac:dyDescent="0.25">
      <c r="A49" t="s">
        <v>42</v>
      </c>
      <c r="B49" s="122" t="s">
        <v>43</v>
      </c>
    </row>
    <row r="50" spans="1:5" x14ac:dyDescent="0.25">
      <c r="A50" s="123"/>
      <c r="B50" s="124"/>
      <c r="E50" s="125"/>
    </row>
    <row r="51" spans="1:5" x14ac:dyDescent="0.25">
      <c r="A51" s="126"/>
      <c r="B51" s="127"/>
      <c r="E51" s="125"/>
    </row>
    <row r="52" spans="1:5" x14ac:dyDescent="0.25">
      <c r="A52" s="126"/>
      <c r="B52" s="127"/>
      <c r="E52" s="125"/>
    </row>
    <row r="53" spans="1:5" x14ac:dyDescent="0.25">
      <c r="A53" s="126"/>
      <c r="B53" s="127"/>
      <c r="E53" s="125"/>
    </row>
    <row r="54" spans="1:5" x14ac:dyDescent="0.25">
      <c r="A54" s="126"/>
      <c r="B54" s="127"/>
      <c r="E54" s="125"/>
    </row>
    <row r="55" spans="1:5" x14ac:dyDescent="0.25">
      <c r="A55" s="128"/>
      <c r="B55" s="129"/>
      <c r="E55" s="125"/>
    </row>
    <row r="56" spans="1:5" x14ac:dyDescent="0.25">
      <c r="A56" s="128"/>
      <c r="B56" s="129"/>
      <c r="E56" s="125"/>
    </row>
    <row r="57" spans="1:5" x14ac:dyDescent="0.25">
      <c r="A57" s="128"/>
      <c r="B57" s="129"/>
      <c r="E57" s="125"/>
    </row>
    <row r="58" spans="1:5" x14ac:dyDescent="0.25">
      <c r="A58" s="128"/>
      <c r="B58" s="129"/>
      <c r="E58" s="125"/>
    </row>
    <row r="59" spans="1:5" x14ac:dyDescent="0.25">
      <c r="A59" s="128"/>
      <c r="B59" s="129"/>
      <c r="E59" s="125"/>
    </row>
    <row r="60" spans="1:5" x14ac:dyDescent="0.25">
      <c r="A60" s="128"/>
      <c r="B60" s="129"/>
      <c r="E60" s="125"/>
    </row>
    <row r="61" spans="1:5" x14ac:dyDescent="0.25">
      <c r="A61" s="128"/>
      <c r="B61" s="129"/>
      <c r="E61" s="125"/>
    </row>
    <row r="62" spans="1:5" x14ac:dyDescent="0.25">
      <c r="A62" s="128"/>
      <c r="B62" s="129"/>
      <c r="E62" s="125"/>
    </row>
    <row r="63" spans="1:5" x14ac:dyDescent="0.25">
      <c r="A63" s="128"/>
      <c r="B63" s="129"/>
      <c r="E63" s="125"/>
    </row>
    <row r="64" spans="1:5" x14ac:dyDescent="0.25">
      <c r="A64" s="128"/>
      <c r="B64" s="129"/>
      <c r="E64" s="125"/>
    </row>
    <row r="65" spans="1:5" x14ac:dyDescent="0.25">
      <c r="A65" s="128"/>
      <c r="B65" s="129"/>
      <c r="E65" s="125"/>
    </row>
    <row r="66" spans="1:5" x14ac:dyDescent="0.25">
      <c r="A66" s="128"/>
      <c r="B66" s="129"/>
      <c r="E66" s="125"/>
    </row>
    <row r="67" spans="1:5" x14ac:dyDescent="0.25">
      <c r="A67" s="128"/>
      <c r="B67" s="129"/>
      <c r="E67" s="125"/>
    </row>
    <row r="68" spans="1:5" x14ac:dyDescent="0.25">
      <c r="A68" s="128"/>
      <c r="B68" s="129"/>
    </row>
    <row r="69" spans="1:5" x14ac:dyDescent="0.25">
      <c r="A69" s="128"/>
      <c r="B69" s="129"/>
    </row>
    <row r="70" spans="1:5" x14ac:dyDescent="0.25">
      <c r="A70" s="130"/>
      <c r="B70" s="131"/>
    </row>
  </sheetData>
  <mergeCells count="8">
    <mergeCell ref="A34:A40"/>
    <mergeCell ref="A41:A47"/>
    <mergeCell ref="A1:I3"/>
    <mergeCell ref="A4:B4"/>
    <mergeCell ref="A6:A12"/>
    <mergeCell ref="A13:A19"/>
    <mergeCell ref="A20:A26"/>
    <mergeCell ref="A27:A33"/>
  </mergeCells>
  <conditionalFormatting sqref="D6:Y6">
    <cfRule type="containsText" dxfId="13" priority="14" operator="containsText" text=" Анікєєв">
      <formula>NOT(ISERROR(SEARCH(" Анікєєв",D6)))</formula>
    </cfRule>
  </conditionalFormatting>
  <conditionalFormatting sqref="D7:X7">
    <cfRule type="containsText" dxfId="12" priority="13" operator="containsText" text=" Анікєєв">
      <formula>NOT(ISERROR(SEARCH(" Анікєєв",D7)))</formula>
    </cfRule>
  </conditionalFormatting>
  <conditionalFormatting sqref="D8:X8">
    <cfRule type="containsText" dxfId="11" priority="12" operator="containsText" text=" Анікєєв">
      <formula>NOT(ISERROR(SEARCH(" Анікєєв",D8)))</formula>
    </cfRule>
  </conditionalFormatting>
  <conditionalFormatting sqref="D9:X9">
    <cfRule type="containsText" dxfId="10" priority="11" operator="containsText" text=" Анікєєв">
      <formula>NOT(ISERROR(SEARCH(" Анікєєв",D9)))</formula>
    </cfRule>
  </conditionalFormatting>
  <conditionalFormatting sqref="D10:X11">
    <cfRule type="containsText" dxfId="9" priority="10" operator="containsText" text=" Анікєєв">
      <formula>NOT(ISERROR(SEARCH(" Анікєєв",D10)))</formula>
    </cfRule>
  </conditionalFormatting>
  <conditionalFormatting sqref="D12:X12">
    <cfRule type="containsText" dxfId="8" priority="9" operator="containsText" text=" Анікєєв">
      <formula>NOT(ISERROR(SEARCH(" Анікєєв",D12)))</formula>
    </cfRule>
  </conditionalFormatting>
  <conditionalFormatting sqref="D13:X13 D16:X19 D14:G15 P14:X15">
    <cfRule type="containsText" dxfId="7" priority="8" operator="containsText" text=" Анікєєв">
      <formula>NOT(ISERROR(SEARCH(" Анікєєв",D13)))</formula>
    </cfRule>
  </conditionalFormatting>
  <conditionalFormatting sqref="D20:X25">
    <cfRule type="containsText" dxfId="6" priority="7" operator="containsText" text=" Анікєєв">
      <formula>NOT(ISERROR(SEARCH(" Анікєєв",D20)))</formula>
    </cfRule>
  </conditionalFormatting>
  <conditionalFormatting sqref="D27:X32">
    <cfRule type="containsText" dxfId="5" priority="6" operator="containsText" text=" Анікєєв">
      <formula>NOT(ISERROR(SEARCH(" Анікєєв",D27)))</formula>
    </cfRule>
  </conditionalFormatting>
  <conditionalFormatting sqref="D34:X34">
    <cfRule type="containsText" dxfId="4" priority="5" operator="containsText" text=" Анікєєв">
      <formula>NOT(ISERROR(SEARCH(" Анікєєв",D34)))</formula>
    </cfRule>
  </conditionalFormatting>
  <conditionalFormatting sqref="D33:X33">
    <cfRule type="containsText" dxfId="3" priority="4" operator="containsText" text=" Анікєєв">
      <formula>NOT(ISERROR(SEARCH(" Анікєєв",D33)))</formula>
    </cfRule>
  </conditionalFormatting>
  <conditionalFormatting sqref="C34:C40">
    <cfRule type="containsText" dxfId="2" priority="3" operator="containsText" text=" Анікєєв">
      <formula>NOT(ISERROR(SEARCH(" Анікєєв",C34)))</formula>
    </cfRule>
  </conditionalFormatting>
  <conditionalFormatting sqref="B41:Y41">
    <cfRule type="containsText" dxfId="1" priority="2" operator="containsText" text=" Анікєєв">
      <formula>NOT(ISERROR(SEARCH(" Анікєєв",B41)))</formula>
    </cfRule>
  </conditionalFormatting>
  <conditionalFormatting sqref="H14:O15">
    <cfRule type="containsText" dxfId="0" priority="1" operator="containsText" text=" Анікєєв">
      <formula>NOT(ISERROR(SEARCH(" Анікєєв",H14)))</formula>
    </cfRule>
  </conditionalFormatting>
  <pageMargins left="0.70866141732283472" right="0.70866141732283472" top="0.74803149606299213" bottom="0.74803149606299213" header="0.31496062992125984" footer="0.31496062992125984"/>
  <pageSetup paperSize="9" scale="60" orientation="landscape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18</vt:i4>
      </vt:variant>
    </vt:vector>
  </HeadingPairs>
  <TitlesOfParts>
    <vt:vector size="18" baseType="lpstr">
      <vt:lpstr>Magic</vt:lpstr>
      <vt:lpstr>Вступ до спеціальності</vt:lpstr>
      <vt:lpstr>1курс Основи фітнесу та АД</vt:lpstr>
      <vt:lpstr>ОТЗ та ЗСШ</vt:lpstr>
      <vt:lpstr>Персональний тренінг</vt:lpstr>
      <vt:lpstr>Практикум з ОФ </vt:lpstr>
      <vt:lpstr>Практикум з силового фітнесу</vt:lpstr>
      <vt:lpstr>СПА</vt:lpstr>
      <vt:lpstr>ФіР 2 курс</vt:lpstr>
      <vt:lpstr>ФіР 3 курс</vt:lpstr>
      <vt:lpstr>ФіР 4 курс</vt:lpstr>
      <vt:lpstr>спорт. анімація</vt:lpstr>
      <vt:lpstr>Аквафітнес </vt:lpstr>
      <vt:lpstr>Практикум із силового фітнесу</vt:lpstr>
      <vt:lpstr>ФВ (види ОРРА)</vt:lpstr>
      <vt:lpstr>ТТОРРА </vt:lpstr>
      <vt:lpstr>ССтаТО</vt:lpstr>
      <vt:lpstr>Магістри 1, 2 курс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Noname</dc:creator>
  <cp:lastModifiedBy>Федір Бургонов</cp:lastModifiedBy>
  <cp:lastPrinted>2021-11-23T10:15:38Z</cp:lastPrinted>
  <dcterms:created xsi:type="dcterms:W3CDTF">2020-09-02T09:55:19Z</dcterms:created>
  <dcterms:modified xsi:type="dcterms:W3CDTF">2025-10-25T18:44:24Z</dcterms:modified>
</cp:coreProperties>
</file>